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230" windowHeight="7995"/>
  </bookViews>
  <sheets>
    <sheet name="IRFP4468PbF loss and tempurtur" sheetId="6" r:id="rId1"/>
    <sheet name="Rds(on) vs. Tj" sheetId="7" r:id="rId2"/>
    <sheet name="Swtching loss" sheetId="9" r:id="rId3"/>
    <sheet name="Max power time" sheetId="10" r:id="rId4"/>
    <sheet name="Nominal current in MOSFET" sheetId="11" r:id="rId5"/>
    <sheet name="Ark1" sheetId="12" r:id="rId6"/>
  </sheets>
  <calcPr calcId="125725"/>
</workbook>
</file>

<file path=xl/calcChain.xml><?xml version="1.0" encoding="utf-8"?>
<calcChain xmlns="http://schemas.openxmlformats.org/spreadsheetml/2006/main">
  <c r="B7" i="12"/>
  <c r="B6"/>
  <c r="B4"/>
  <c r="B12" i="11"/>
  <c r="B6"/>
  <c r="C68" i="9"/>
  <c r="C42"/>
  <c r="C41"/>
  <c r="C37"/>
  <c r="B22" i="6"/>
  <c r="B21"/>
  <c r="B20"/>
  <c r="B103"/>
  <c r="B18" i="11"/>
  <c r="B7"/>
  <c r="B9" s="1"/>
  <c r="B11" s="1"/>
  <c r="B13" s="1"/>
  <c r="B21" s="1"/>
  <c r="B22" s="1"/>
  <c r="B83" i="6" s="1"/>
  <c r="B84" s="1"/>
  <c r="B85" s="1"/>
  <c r="B3" i="11"/>
  <c r="B68" i="6"/>
  <c r="B21" i="10"/>
  <c r="B19"/>
  <c r="B17"/>
  <c r="B15"/>
  <c r="B10"/>
  <c r="B12" s="1"/>
  <c r="B2"/>
  <c r="B62" i="6"/>
  <c r="B61"/>
  <c r="B60"/>
  <c r="B47"/>
  <c r="B50" s="1"/>
  <c r="B53" s="1"/>
  <c r="B55" s="1"/>
  <c r="B45"/>
  <c r="C5" i="9"/>
  <c r="C63"/>
  <c r="B12" i="6"/>
  <c r="B7"/>
  <c r="B10" s="1"/>
  <c r="B11" s="1"/>
  <c r="B23" l="1"/>
  <c r="B88"/>
  <c r="B96" s="1"/>
  <c r="C43" i="9"/>
  <c r="C67"/>
  <c r="C69" s="1"/>
  <c r="C89" l="1"/>
  <c r="B29" i="6" l="1"/>
  <c r="B34" s="1"/>
  <c r="B70" l="1"/>
  <c r="B71" s="1"/>
  <c r="B72" s="1"/>
  <c r="B107"/>
  <c r="B111" l="1"/>
  <c r="B112" s="1"/>
  <c r="B113" s="1"/>
  <c r="B125"/>
  <c r="B128" s="1"/>
  <c r="B129" s="1"/>
  <c r="B130" l="1"/>
  <c r="B136" s="1"/>
  <c r="B135"/>
  <c r="B134"/>
  <c r="B138" l="1"/>
  <c r="B139"/>
</calcChain>
</file>

<file path=xl/sharedStrings.xml><?xml version="1.0" encoding="utf-8"?>
<sst xmlns="http://schemas.openxmlformats.org/spreadsheetml/2006/main" count="268" uniqueCount="178">
  <si>
    <t>Name</t>
  </si>
  <si>
    <t>Homepage</t>
  </si>
  <si>
    <t>Vds max</t>
  </si>
  <si>
    <t>Id max (25®C)</t>
  </si>
  <si>
    <t>Rds(on) max</t>
  </si>
  <si>
    <t>Pris(omkring 500 stk)</t>
  </si>
  <si>
    <t>Input Capacitance Ciss max [pF]</t>
  </si>
  <si>
    <t>House</t>
  </si>
  <si>
    <t>Rs.online</t>
  </si>
  <si>
    <t>Id max (100®C)</t>
  </si>
  <si>
    <t>Rds(on) Typ.</t>
  </si>
  <si>
    <t>IRFP4468PbF</t>
  </si>
  <si>
    <t>Id max (25®C) (Package Limited)</t>
  </si>
  <si>
    <t>TO-247AC</t>
  </si>
  <si>
    <t>No</t>
  </si>
  <si>
    <t>W</t>
  </si>
  <si>
    <t>Dimension</t>
  </si>
  <si>
    <t>Use with</t>
  </si>
  <si>
    <t>Therminal Resistor</t>
  </si>
  <si>
    <t>Pris for one</t>
  </si>
  <si>
    <t>Number of MOSFET</t>
  </si>
  <si>
    <t>SK 487/84 SA</t>
  </si>
  <si>
    <t>84 x 52.3 x 28mm</t>
  </si>
  <si>
    <t>TO-247, TO-220</t>
  </si>
  <si>
    <t>About 2-3</t>
  </si>
  <si>
    <t>Power supply</t>
  </si>
  <si>
    <t>°C</t>
  </si>
  <si>
    <t>R j c max</t>
  </si>
  <si>
    <t>R c s</t>
  </si>
  <si>
    <t>Current to the Motor</t>
  </si>
  <si>
    <t>Sinus peak</t>
  </si>
  <si>
    <t>Current RMS</t>
  </si>
  <si>
    <t>Drain current in two MOSFET combined, RMS</t>
  </si>
  <si>
    <t>Drain current in one MOSFET, RMS</t>
  </si>
  <si>
    <t>A</t>
  </si>
  <si>
    <t>A, RMS</t>
  </si>
  <si>
    <t>A,RMS</t>
  </si>
  <si>
    <t>Peak current in MOSFET</t>
  </si>
  <si>
    <t>MOSFET max rating</t>
  </si>
  <si>
    <t>V</t>
  </si>
  <si>
    <t>Conduction loss</t>
  </si>
  <si>
    <t>Finding equation for RDS(on) vs. Tj</t>
  </si>
  <si>
    <t>Tempurtur junction (Tj)</t>
  </si>
  <si>
    <r>
      <rPr>
        <sz val="11"/>
        <color theme="1"/>
        <rFont val="Calibri"/>
        <family val="2"/>
      </rPr>
      <t>°</t>
    </r>
    <r>
      <rPr>
        <sz val="9.35"/>
        <color theme="1"/>
        <rFont val="Calibri"/>
        <family val="2"/>
      </rPr>
      <t>C</t>
    </r>
  </si>
  <si>
    <t>Rds(on)</t>
  </si>
  <si>
    <t>Ω</t>
  </si>
  <si>
    <t>Pcon,Loss</t>
  </si>
  <si>
    <t>Vds max rating</t>
  </si>
  <si>
    <t>Switching frequence</t>
  </si>
  <si>
    <t>Hz</t>
  </si>
  <si>
    <t>First off assum that Cgs is the same for on and off time. And it is equeal to Ciss at 50V</t>
  </si>
  <si>
    <t>Cgs</t>
  </si>
  <si>
    <t>F</t>
  </si>
  <si>
    <t>Assum that the time Vds rise and fall is defined by the datasheet. See pictures</t>
  </si>
  <si>
    <t>t rise</t>
  </si>
  <si>
    <t>s</t>
  </si>
  <si>
    <t>t fall</t>
  </si>
  <si>
    <t>Off time loss</t>
  </si>
  <si>
    <t xml:space="preserve">The time drain current fall is defined by Cgs and gate current </t>
  </si>
  <si>
    <t>I gate off</t>
  </si>
  <si>
    <t>Vgs(Io) has been find from simulation</t>
  </si>
  <si>
    <t>Vgs(Io)</t>
  </si>
  <si>
    <t>Vgs th datasheet</t>
  </si>
  <si>
    <t>Vg th</t>
  </si>
  <si>
    <t>Time drain current fall:</t>
  </si>
  <si>
    <t>tfi</t>
  </si>
  <si>
    <t>Off time loss:</t>
  </si>
  <si>
    <t>Poff loss</t>
  </si>
  <si>
    <t xml:space="preserve">Vbat </t>
  </si>
  <si>
    <t>On time loss</t>
  </si>
  <si>
    <t>Time drain current rasi:</t>
  </si>
  <si>
    <t>Total Sw loss</t>
  </si>
  <si>
    <t>P sw total</t>
  </si>
  <si>
    <t>Total sw loss</t>
  </si>
  <si>
    <t>Total Loss in one MOSFET</t>
  </si>
  <si>
    <t>P loss, total</t>
  </si>
  <si>
    <t>Tempurtur</t>
  </si>
  <si>
    <t>Thermal capacitor</t>
  </si>
  <si>
    <t>Volume</t>
  </si>
  <si>
    <t>Area</t>
  </si>
  <si>
    <t>Length</t>
  </si>
  <si>
    <t>Density</t>
  </si>
  <si>
    <t>m^3</t>
  </si>
  <si>
    <t>m^2</t>
  </si>
  <si>
    <t>m</t>
  </si>
  <si>
    <t>Kg/m^3</t>
  </si>
  <si>
    <t>c alu</t>
  </si>
  <si>
    <r>
      <t>J/(</t>
    </r>
    <r>
      <rPr>
        <sz val="11"/>
        <color theme="1"/>
        <rFont val="Calibri"/>
        <family val="2"/>
      </rPr>
      <t>°C*kg</t>
    </r>
    <r>
      <rPr>
        <sz val="11"/>
        <color theme="1"/>
        <rFont val="Calibri"/>
        <family val="2"/>
        <scheme val="minor"/>
      </rPr>
      <t>)</t>
    </r>
  </si>
  <si>
    <t>Mass</t>
  </si>
  <si>
    <t>Kg</t>
  </si>
  <si>
    <r>
      <t>J/</t>
    </r>
    <r>
      <rPr>
        <b/>
        <sz val="11"/>
        <color theme="1"/>
        <rFont val="Calibri"/>
        <family val="2"/>
      </rPr>
      <t>°C</t>
    </r>
  </si>
  <si>
    <t>LOSS</t>
  </si>
  <si>
    <t>Correction factor of the volume</t>
  </si>
  <si>
    <t>Real volume</t>
  </si>
  <si>
    <t>Thermal capacitor (Cs)</t>
  </si>
  <si>
    <t>Thermal resistor</t>
  </si>
  <si>
    <t>Rjc</t>
  </si>
  <si>
    <t>°C/W</t>
  </si>
  <si>
    <t>Rcs</t>
  </si>
  <si>
    <t>Rsa</t>
  </si>
  <si>
    <t>Tempurtur MOSFET</t>
  </si>
  <si>
    <t>number of MOSFET on heat sink (n)</t>
  </si>
  <si>
    <t>Ts</t>
  </si>
  <si>
    <t>Ta</t>
  </si>
  <si>
    <t>Time for max power</t>
  </si>
  <si>
    <t>Tc</t>
  </si>
  <si>
    <t>Tj</t>
  </si>
  <si>
    <t>Max speed</t>
  </si>
  <si>
    <t>km/t</t>
  </si>
  <si>
    <t>m/s</t>
  </si>
  <si>
    <t>mass</t>
  </si>
  <si>
    <t>kg</t>
  </si>
  <si>
    <t>Nm</t>
  </si>
  <si>
    <t>Gear care</t>
  </si>
  <si>
    <t>Gear wheel</t>
  </si>
  <si>
    <t>Gear ratio</t>
  </si>
  <si>
    <t>Torque from motor</t>
  </si>
  <si>
    <t>Torque to wheel</t>
  </si>
  <si>
    <t>Wheel Radius</t>
  </si>
  <si>
    <t>"</t>
  </si>
  <si>
    <t>Force on wheel</t>
  </si>
  <si>
    <t>N</t>
  </si>
  <si>
    <t>Acceleration</t>
  </si>
  <si>
    <t>m/s^2</t>
  </si>
  <si>
    <t>Time before max speed</t>
  </si>
  <si>
    <t>≈</t>
  </si>
  <si>
    <t>For explanation see notes</t>
  </si>
  <si>
    <t>Assume that the only torque load when at max speed is air drag</t>
  </si>
  <si>
    <t>Area of air drag</t>
  </si>
  <si>
    <t>dimension number (C)</t>
  </si>
  <si>
    <t>Air density</t>
  </si>
  <si>
    <t>kg/m^2</t>
  </si>
  <si>
    <t>Air drag force</t>
  </si>
  <si>
    <t>Torque on wheel</t>
  </si>
  <si>
    <t>Torque phas peak current rario</t>
  </si>
  <si>
    <t>Max torque</t>
  </si>
  <si>
    <t>Max phas peak current</t>
  </si>
  <si>
    <t>A peak</t>
  </si>
  <si>
    <t>Kt</t>
  </si>
  <si>
    <t>Nm/A</t>
  </si>
  <si>
    <t>Phase current</t>
  </si>
  <si>
    <t>Peak</t>
  </si>
  <si>
    <t>RMS current</t>
  </si>
  <si>
    <t>A RMS</t>
  </si>
  <si>
    <t>From phase RMS</t>
  </si>
  <si>
    <t>Current in the two MOSFET</t>
  </si>
  <si>
    <t>Current in one MOSFET</t>
  </si>
  <si>
    <t>Current from continuously max speed</t>
  </si>
  <si>
    <t>Conduction loss from continuously max speed</t>
  </si>
  <si>
    <t>Switching loss from continuously max speed</t>
  </si>
  <si>
    <t>Because it is too difficult to calculate the Switching loss in max speed, it will be asumed that the loss is 5W</t>
  </si>
  <si>
    <t>Pcon, max speed</t>
  </si>
  <si>
    <t>Psw, max speed</t>
  </si>
  <si>
    <t>Total Loss in one MOSFET from max speed</t>
  </si>
  <si>
    <t>Max current</t>
  </si>
  <si>
    <t>Down accelaration</t>
  </si>
  <si>
    <t>Procent Time there is:</t>
  </si>
  <si>
    <t>%</t>
  </si>
  <si>
    <t>In down accelaration there is no power loss</t>
  </si>
  <si>
    <t>Norminal power loss in one MOSFET</t>
  </si>
  <si>
    <t>The norminal power loss is therefore;</t>
  </si>
  <si>
    <t>Tempurtur in norminal power loss</t>
  </si>
  <si>
    <t>Tempurtur in norminal power loss, and max current step</t>
  </si>
  <si>
    <t>Tempurtur due to norminal power loss</t>
  </si>
  <si>
    <t>Tempurtur in one MOSFET</t>
  </si>
  <si>
    <t>Is Tj lower then the expected value?</t>
  </si>
  <si>
    <t>Tempurtur MOSFET delta</t>
  </si>
  <si>
    <t>Delta power loss</t>
  </si>
  <si>
    <t>Rds(on) faktor</t>
  </si>
  <si>
    <t>Switching loss</t>
  </si>
  <si>
    <t>Time total</t>
  </si>
  <si>
    <t>tri</t>
  </si>
  <si>
    <t>Lw</t>
  </si>
  <si>
    <t>Cm</t>
  </si>
  <si>
    <t>n</t>
  </si>
  <si>
    <t>Cd</t>
  </si>
  <si>
    <t>Rd</t>
  </si>
  <si>
    <t>H</t>
  </si>
</sst>
</file>

<file path=xl/styles.xml><?xml version="1.0" encoding="utf-8"?>
<styleSheet xmlns="http://schemas.openxmlformats.org/spreadsheetml/2006/main">
  <numFmts count="4">
    <numFmt numFmtId="8" formatCode="&quot;kr.&quot;\ #,##0.00;[Red]&quot;kr.&quot;\ \-#,##0.00"/>
    <numFmt numFmtId="164" formatCode="0.00000"/>
    <numFmt numFmtId="165" formatCode="0.000"/>
    <numFmt numFmtId="166" formatCode="0.000E+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.35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u/>
      <sz val="16"/>
      <color theme="1"/>
      <name val="Calibri"/>
      <family val="2"/>
      <scheme val="minor"/>
    </font>
    <font>
      <u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2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Border="1"/>
    <xf numFmtId="0" fontId="1" fillId="0" borderId="1" xfId="0" applyFont="1" applyFill="1" applyBorder="1" applyAlignment="1">
      <alignment vertical="top" wrapText="1"/>
    </xf>
    <xf numFmtId="0" fontId="0" fillId="0" borderId="0" xfId="0" applyBorder="1" applyAlignment="1"/>
    <xf numFmtId="0" fontId="0" fillId="0" borderId="0" xfId="0" applyFill="1" applyBorder="1" applyAlignment="1">
      <alignment vertical="top" wrapText="1"/>
    </xf>
    <xf numFmtId="0" fontId="0" fillId="0" borderId="3" xfId="0" applyBorder="1" applyAlignment="1"/>
    <xf numFmtId="0" fontId="0" fillId="0" borderId="2" xfId="0" applyBorder="1" applyAlignment="1"/>
    <xf numFmtId="0" fontId="4" fillId="0" borderId="4" xfId="0" applyFont="1" applyFill="1" applyBorder="1" applyAlignment="1">
      <alignment vertical="top" wrapText="1"/>
    </xf>
    <xf numFmtId="0" fontId="3" fillId="0" borderId="6" xfId="1" applyFont="1" applyFill="1" applyBorder="1" applyAlignment="1" applyProtection="1"/>
    <xf numFmtId="11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5" fillId="0" borderId="0" xfId="0" applyFont="1"/>
    <xf numFmtId="0" fontId="2" fillId="0" borderId="8" xfId="1" applyBorder="1" applyAlignment="1" applyProtection="1"/>
    <xf numFmtId="0" fontId="0" fillId="0" borderId="14" xfId="0" applyBorder="1"/>
    <xf numFmtId="0" fontId="0" fillId="0" borderId="14" xfId="0" applyBorder="1" applyAlignment="1">
      <alignment horizontal="right"/>
    </xf>
    <xf numFmtId="8" fontId="0" fillId="0" borderId="9" xfId="0" applyNumberFormat="1" applyBorder="1"/>
    <xf numFmtId="0" fontId="0" fillId="0" borderId="6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2" fillId="3" borderId="15" xfId="1" applyFill="1" applyBorder="1" applyAlignment="1" applyProtection="1">
      <alignment vertical="top" wrapText="1"/>
    </xf>
    <xf numFmtId="0" fontId="0" fillId="0" borderId="13" xfId="0" applyBorder="1"/>
    <xf numFmtId="0" fontId="0" fillId="0" borderId="5" xfId="0" applyBorder="1"/>
    <xf numFmtId="0" fontId="3" fillId="0" borderId="7" xfId="0" applyFont="1" applyBorder="1"/>
    <xf numFmtId="0" fontId="3" fillId="0" borderId="9" xfId="0" applyFont="1" applyBorder="1"/>
    <xf numFmtId="0" fontId="0" fillId="0" borderId="2" xfId="0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" xfId="0" applyBorder="1" applyAlignment="1">
      <alignment vertical="top"/>
    </xf>
    <xf numFmtId="11" fontId="0" fillId="0" borderId="2" xfId="0" applyNumberFormat="1" applyBorder="1" applyAlignment="1">
      <alignment vertical="top"/>
    </xf>
    <xf numFmtId="11" fontId="0" fillId="0" borderId="3" xfId="0" applyNumberFormat="1" applyBorder="1" applyAlignment="1">
      <alignment vertical="top"/>
    </xf>
    <xf numFmtId="0" fontId="0" fillId="0" borderId="14" xfId="0" applyBorder="1" applyAlignment="1"/>
    <xf numFmtId="8" fontId="0" fillId="0" borderId="16" xfId="0" applyNumberFormat="1" applyBorder="1" applyAlignment="1"/>
    <xf numFmtId="0" fontId="0" fillId="0" borderId="0" xfId="0" applyFont="1" applyBorder="1" applyAlignment="1">
      <alignment vertical="top"/>
    </xf>
    <xf numFmtId="0" fontId="0" fillId="0" borderId="13" xfId="0" applyBorder="1" applyAlignment="1">
      <alignment vertical="top" wrapText="1"/>
    </xf>
    <xf numFmtId="0" fontId="3" fillId="0" borderId="6" xfId="1" applyFont="1" applyFill="1" applyBorder="1" applyAlignment="1" applyProtection="1">
      <alignment vertical="top" wrapText="1"/>
    </xf>
    <xf numFmtId="0" fontId="4" fillId="0" borderId="6" xfId="0" applyFont="1" applyFill="1" applyBorder="1"/>
    <xf numFmtId="0" fontId="0" fillId="0" borderId="6" xfId="0" applyFill="1" applyBorder="1" applyAlignment="1">
      <alignment vertical="top" wrapText="1"/>
    </xf>
    <xf numFmtId="0" fontId="0" fillId="0" borderId="7" xfId="0" applyBorder="1" applyAlignment="1"/>
    <xf numFmtId="0" fontId="0" fillId="0" borderId="6" xfId="0" applyFont="1" applyFill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1" fillId="0" borderId="7" xfId="0" applyFont="1" applyBorder="1"/>
    <xf numFmtId="0" fontId="4" fillId="0" borderId="4" xfId="0" applyFont="1" applyBorder="1"/>
    <xf numFmtId="0" fontId="4" fillId="0" borderId="14" xfId="0" applyNumberFormat="1" applyFont="1" applyBorder="1"/>
    <xf numFmtId="0" fontId="1" fillId="0" borderId="9" xfId="0" applyFont="1" applyBorder="1"/>
    <xf numFmtId="0" fontId="0" fillId="0" borderId="0" xfId="0" applyNumberFormat="1" applyBorder="1"/>
    <xf numFmtId="0" fontId="4" fillId="0" borderId="14" xfId="0" applyFont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5" fillId="0" borderId="10" xfId="0" applyFont="1" applyBorder="1"/>
    <xf numFmtId="11" fontId="5" fillId="0" borderId="12" xfId="0" applyNumberFormat="1" applyFont="1" applyBorder="1"/>
    <xf numFmtId="0" fontId="5" fillId="0" borderId="11" xfId="0" applyFont="1" applyBorder="1"/>
    <xf numFmtId="0" fontId="5" fillId="0" borderId="4" xfId="0" applyFont="1" applyBorder="1"/>
    <xf numFmtId="11" fontId="5" fillId="0" borderId="13" xfId="0" applyNumberFormat="1" applyFont="1" applyBorder="1"/>
    <xf numFmtId="0" fontId="5" fillId="0" borderId="5" xfId="0" applyFont="1" applyBorder="1"/>
    <xf numFmtId="0" fontId="5" fillId="0" borderId="8" xfId="0" applyFont="1" applyBorder="1"/>
    <xf numFmtId="11" fontId="5" fillId="0" borderId="14" xfId="0" applyNumberFormat="1" applyFont="1" applyBorder="1"/>
    <xf numFmtId="0" fontId="5" fillId="0" borderId="9" xfId="0" applyFont="1" applyBorder="1"/>
    <xf numFmtId="0" fontId="10" fillId="0" borderId="0" xfId="0" applyFont="1"/>
    <xf numFmtId="0" fontId="6" fillId="0" borderId="0" xfId="0" applyFont="1"/>
    <xf numFmtId="0" fontId="4" fillId="0" borderId="0" xfId="0" applyFont="1" applyBorder="1"/>
    <xf numFmtId="0" fontId="0" fillId="0" borderId="8" xfId="0" applyBorder="1" applyAlignment="1">
      <alignment horizontal="right"/>
    </xf>
    <xf numFmtId="0" fontId="1" fillId="0" borderId="4" xfId="0" applyFont="1" applyFill="1" applyBorder="1"/>
    <xf numFmtId="0" fontId="11" fillId="0" borderId="8" xfId="0" applyFont="1" applyFill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4" xfId="0" applyFont="1" applyBorder="1"/>
    <xf numFmtId="0" fontId="15" fillId="0" borderId="7" xfId="0" applyFont="1" applyBorder="1"/>
    <xf numFmtId="0" fontId="15" fillId="0" borderId="9" xfId="0" applyFont="1" applyBorder="1"/>
    <xf numFmtId="0" fontId="17" fillId="0" borderId="0" xfId="0" applyFont="1" applyAlignment="1">
      <alignment wrapText="1"/>
    </xf>
    <xf numFmtId="0" fontId="0" fillId="0" borderId="4" xfId="0" applyBorder="1"/>
    <xf numFmtId="0" fontId="3" fillId="0" borderId="8" xfId="0" applyFont="1" applyBorder="1" applyAlignment="1">
      <alignment horizontal="right"/>
    </xf>
    <xf numFmtId="0" fontId="14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4" xfId="0" applyFont="1" applyBorder="1" applyAlignment="1">
      <alignment wrapText="1"/>
    </xf>
    <xf numFmtId="0" fontId="0" fillId="0" borderId="6" xfId="0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4" fillId="0" borderId="14" xfId="0" applyFont="1" applyFill="1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4" xfId="0" applyFont="1" applyBorder="1"/>
    <xf numFmtId="0" fontId="16" fillId="0" borderId="13" xfId="0" applyFont="1" applyBorder="1"/>
    <xf numFmtId="0" fontId="16" fillId="0" borderId="5" xfId="0" applyFont="1" applyBorder="1"/>
    <xf numFmtId="0" fontId="16" fillId="0" borderId="6" xfId="0" applyFont="1" applyBorder="1" applyAlignment="1">
      <alignment horizontal="right"/>
    </xf>
    <xf numFmtId="0" fontId="12" fillId="2" borderId="0" xfId="0" applyFont="1" applyFill="1" applyBorder="1"/>
    <xf numFmtId="0" fontId="18" fillId="0" borderId="7" xfId="0" applyFont="1" applyBorder="1"/>
    <xf numFmtId="0" fontId="16" fillId="0" borderId="8" xfId="0" applyFont="1" applyBorder="1" applyAlignment="1">
      <alignment horizontal="right"/>
    </xf>
    <xf numFmtId="0" fontId="12" fillId="2" borderId="14" xfId="0" applyFont="1" applyFill="1" applyBorder="1"/>
    <xf numFmtId="0" fontId="18" fillId="0" borderId="9" xfId="0" applyFont="1" applyBorder="1"/>
    <xf numFmtId="0" fontId="16" fillId="0" borderId="0" xfId="0" applyFont="1" applyFill="1" applyBorder="1" applyAlignment="1">
      <alignment horizontal="left" wrapText="1"/>
    </xf>
    <xf numFmtId="165" fontId="0" fillId="0" borderId="0" xfId="0" applyNumberFormat="1" applyBorder="1"/>
    <xf numFmtId="0" fontId="0" fillId="0" borderId="6" xfId="0" applyFont="1" applyBorder="1" applyAlignment="1">
      <alignment horizontal="right" vertical="top" wrapText="1"/>
    </xf>
    <xf numFmtId="166" fontId="0" fillId="0" borderId="0" xfId="0" applyNumberFormat="1" applyBorder="1"/>
    <xf numFmtId="2" fontId="4" fillId="0" borderId="14" xfId="0" applyNumberFormat="1" applyFont="1" applyBorder="1"/>
    <xf numFmtId="165" fontId="0" fillId="0" borderId="14" xfId="0" applyNumberFormat="1" applyBorder="1"/>
    <xf numFmtId="165" fontId="4" fillId="0" borderId="14" xfId="0" applyNumberFormat="1" applyFont="1" applyBorder="1"/>
    <xf numFmtId="165" fontId="4" fillId="0" borderId="0" xfId="0" applyNumberFormat="1" applyFont="1" applyBorder="1"/>
    <xf numFmtId="165" fontId="4" fillId="2" borderId="14" xfId="0" applyNumberFormat="1" applyFont="1" applyFill="1" applyBorder="1"/>
    <xf numFmtId="164" fontId="0" fillId="0" borderId="14" xfId="0" applyNumberFormat="1" applyBorder="1"/>
    <xf numFmtId="2" fontId="0" fillId="0" borderId="0" xfId="0" applyNumberFormat="1" applyBorder="1"/>
    <xf numFmtId="2" fontId="0" fillId="0" borderId="0" xfId="0" applyNumberFormat="1"/>
    <xf numFmtId="2" fontId="1" fillId="0" borderId="14" xfId="0" applyNumberFormat="1" applyFont="1" applyBorder="1"/>
    <xf numFmtId="165" fontId="12" fillId="2" borderId="0" xfId="0" applyNumberFormat="1" applyFont="1" applyFill="1" applyBorder="1"/>
    <xf numFmtId="0" fontId="19" fillId="0" borderId="4" xfId="0" applyFont="1" applyBorder="1"/>
    <xf numFmtId="0" fontId="20" fillId="0" borderId="13" xfId="0" applyFont="1" applyBorder="1"/>
    <xf numFmtId="0" fontId="20" fillId="0" borderId="5" xfId="0" applyFont="1" applyBorder="1"/>
    <xf numFmtId="0" fontId="20" fillId="0" borderId="6" xfId="0" applyFont="1" applyBorder="1" applyAlignment="1">
      <alignment horizontal="right"/>
    </xf>
    <xf numFmtId="165" fontId="20" fillId="0" borderId="0" xfId="0" applyNumberFormat="1" applyFont="1" applyBorder="1"/>
    <xf numFmtId="0" fontId="21" fillId="0" borderId="7" xfId="0" applyFont="1" applyBorder="1"/>
    <xf numFmtId="0" fontId="20" fillId="0" borderId="6" xfId="0" applyFont="1" applyBorder="1"/>
    <xf numFmtId="0" fontId="20" fillId="0" borderId="0" xfId="0" applyFont="1" applyBorder="1"/>
    <xf numFmtId="0" fontId="20" fillId="0" borderId="7" xfId="0" applyFont="1" applyBorder="1"/>
    <xf numFmtId="165" fontId="22" fillId="0" borderId="0" xfId="0" applyNumberFormat="1" applyFont="1" applyBorder="1"/>
    <xf numFmtId="0" fontId="23" fillId="0" borderId="7" xfId="0" applyFont="1" applyBorder="1"/>
    <xf numFmtId="0" fontId="20" fillId="0" borderId="8" xfId="0" applyFont="1" applyBorder="1" applyAlignment="1">
      <alignment horizontal="right"/>
    </xf>
    <xf numFmtId="165" fontId="22" fillId="0" borderId="14" xfId="0" applyNumberFormat="1" applyFont="1" applyBorder="1"/>
    <xf numFmtId="0" fontId="23" fillId="0" borderId="9" xfId="0" applyFont="1" applyBorder="1"/>
    <xf numFmtId="0" fontId="8" fillId="0" borderId="4" xfId="0" applyFont="1" applyBorder="1" applyAlignment="1">
      <alignment horizontal="right"/>
    </xf>
    <xf numFmtId="11" fontId="8" fillId="0" borderId="13" xfId="0" applyNumberFormat="1" applyFont="1" applyBorder="1"/>
    <xf numFmtId="0" fontId="8" fillId="0" borderId="5" xfId="0" applyFont="1" applyBorder="1"/>
    <xf numFmtId="0" fontId="8" fillId="0" borderId="6" xfId="0" applyFont="1" applyBorder="1" applyAlignment="1">
      <alignment horizontal="right"/>
    </xf>
    <xf numFmtId="11" fontId="8" fillId="0" borderId="0" xfId="0" applyNumberFormat="1" applyFont="1" applyBorder="1"/>
    <xf numFmtId="0" fontId="8" fillId="0" borderId="7" xfId="0" applyFont="1" applyBorder="1"/>
    <xf numFmtId="0" fontId="8" fillId="0" borderId="0" xfId="0" applyFont="1" applyBorder="1"/>
    <xf numFmtId="0" fontId="24" fillId="0" borderId="8" xfId="0" applyFont="1" applyBorder="1" applyAlignment="1">
      <alignment horizontal="right"/>
    </xf>
    <xf numFmtId="0" fontId="24" fillId="0" borderId="14" xfId="0" applyFont="1" applyBorder="1"/>
    <xf numFmtId="0" fontId="25" fillId="0" borderId="9" xfId="0" applyFont="1" applyBorder="1"/>
  </cellXfs>
  <cellStyles count="2">
    <cellStyle name="Hyperlink" xfId="1" builtinId="8"/>
    <cellStyle name="Normal" xfId="0" builtinId="0"/>
  </cellStyles>
  <dxfs count="2"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a-DK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numFmt formatCode="General" sourceLinked="0"/>
            </c:trendlineLbl>
          </c:trendline>
          <c:trendline>
            <c:trendlineType val="exp"/>
            <c:dispRSqr val="1"/>
            <c:dispEq val="1"/>
            <c:trendlineLbl>
              <c:layout>
                <c:manualLayout>
                  <c:x val="0.42819963979799652"/>
                  <c:y val="-4.7513566181434731E-4"/>
                </c:manualLayout>
              </c:layout>
              <c:numFmt formatCode="General" sourceLinked="0"/>
            </c:trendlineLbl>
          </c:trendline>
          <c:xVal>
            <c:numRef>
              <c:f>'Rds(on) vs. Tj'!$A$1:$A$5</c:f>
              <c:numCache>
                <c:formatCode>General</c:formatCode>
                <c:ptCount val="5"/>
                <c:pt idx="0">
                  <c:v>-20</c:v>
                </c:pt>
                <c:pt idx="1">
                  <c:v>25</c:v>
                </c:pt>
                <c:pt idx="2">
                  <c:v>60</c:v>
                </c:pt>
                <c:pt idx="3">
                  <c:v>90</c:v>
                </c:pt>
                <c:pt idx="4">
                  <c:v>100</c:v>
                </c:pt>
              </c:numCache>
            </c:numRef>
          </c:xVal>
          <c:yVal>
            <c:numRef>
              <c:f>'Rds(on) vs. Tj'!$B$1:$B$5</c:f>
              <c:numCache>
                <c:formatCode>General</c:formatCode>
                <c:ptCount val="5"/>
                <c:pt idx="0">
                  <c:v>0.75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1.7</c:v>
                </c:pt>
              </c:numCache>
            </c:numRef>
          </c:yVal>
        </c:ser>
        <c:axId val="162310784"/>
        <c:axId val="162406784"/>
      </c:scatterChart>
      <c:valAx>
        <c:axId val="162310784"/>
        <c:scaling>
          <c:orientation val="minMax"/>
        </c:scaling>
        <c:axPos val="b"/>
        <c:numFmt formatCode="General" sourceLinked="1"/>
        <c:tickLblPos val="nextTo"/>
        <c:crossAx val="162406784"/>
        <c:crosses val="autoZero"/>
        <c:crossBetween val="midCat"/>
      </c:valAx>
      <c:valAx>
        <c:axId val="162406784"/>
        <c:scaling>
          <c:orientation val="minMax"/>
        </c:scaling>
        <c:axPos val="l"/>
        <c:majorGridlines/>
        <c:numFmt formatCode="General" sourceLinked="1"/>
        <c:tickLblPos val="nextTo"/>
        <c:crossAx val="16231078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344178</xdr:colOff>
      <xdr:row>6</xdr:row>
      <xdr:rowOff>76679</xdr:rowOff>
    </xdr:from>
    <xdr:to>
      <xdr:col>18</xdr:col>
      <xdr:colOff>370623</xdr:colOff>
      <xdr:row>30</xdr:row>
      <xdr:rowOff>30171</xdr:rowOff>
    </xdr:to>
    <xdr:pic>
      <xdr:nvPicPr>
        <xdr:cNvPr id="5" name="Billede 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95002" y="2015297"/>
          <a:ext cx="4867387" cy="4579120"/>
        </a:xfrm>
        <a:prstGeom prst="rect">
          <a:avLst/>
        </a:prstGeom>
      </xdr:spPr>
    </xdr:pic>
    <xdr:clientData/>
  </xdr:twoCellAnchor>
  <xdr:twoCellAnchor>
    <xdr:from>
      <xdr:col>3</xdr:col>
      <xdr:colOff>362591</xdr:colOff>
      <xdr:row>3</xdr:row>
      <xdr:rowOff>76841</xdr:rowOff>
    </xdr:from>
    <xdr:to>
      <xdr:col>5</xdr:col>
      <xdr:colOff>206348</xdr:colOff>
      <xdr:row>5</xdr:row>
      <xdr:rowOff>27535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441532" y="1432753"/>
          <a:ext cx="2174581" cy="3429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447436</xdr:colOff>
      <xdr:row>11</xdr:row>
      <xdr:rowOff>104055</xdr:rowOff>
    </xdr:from>
    <xdr:to>
      <xdr:col>8</xdr:col>
      <xdr:colOff>202587</xdr:colOff>
      <xdr:row>14</xdr:row>
      <xdr:rowOff>85005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526377" y="3185673"/>
          <a:ext cx="4416798" cy="56365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360732</xdr:colOff>
      <xdr:row>43</xdr:row>
      <xdr:rowOff>36150</xdr:rowOff>
    </xdr:from>
    <xdr:to>
      <xdr:col>4</xdr:col>
      <xdr:colOff>769187</xdr:colOff>
      <xdr:row>49</xdr:row>
      <xdr:rowOff>121875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446957" y="9399225"/>
          <a:ext cx="163718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414617</xdr:colOff>
      <xdr:row>5</xdr:row>
      <xdr:rowOff>11205</xdr:rowOff>
    </xdr:from>
    <xdr:to>
      <xdr:col>6</xdr:col>
      <xdr:colOff>175932</xdr:colOff>
      <xdr:row>7</xdr:row>
      <xdr:rowOff>184336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493558" y="1759323"/>
          <a:ext cx="2820521" cy="554131"/>
        </a:xfrm>
        <a:prstGeom prst="rect">
          <a:avLst/>
        </a:prstGeom>
        <a:noFill/>
      </xdr:spPr>
    </xdr:pic>
    <xdr:clientData/>
  </xdr:twoCellAnchor>
  <xdr:twoCellAnchor>
    <xdr:from>
      <xdr:col>3</xdr:col>
      <xdr:colOff>173934</xdr:colOff>
      <xdr:row>53</xdr:row>
      <xdr:rowOff>157369</xdr:rowOff>
    </xdr:from>
    <xdr:to>
      <xdr:col>4</xdr:col>
      <xdr:colOff>479562</xdr:colOff>
      <xdr:row>55</xdr:row>
      <xdr:rowOff>72887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265543" y="11405152"/>
          <a:ext cx="1531454" cy="3048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264720</xdr:colOff>
      <xdr:row>56</xdr:row>
      <xdr:rowOff>13607</xdr:rowOff>
    </xdr:from>
    <xdr:to>
      <xdr:col>9</xdr:col>
      <xdr:colOff>380999</xdr:colOff>
      <xdr:row>65</xdr:row>
      <xdr:rowOff>163285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40629" y="11599471"/>
          <a:ext cx="5588825" cy="19161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302559</xdr:colOff>
      <xdr:row>7</xdr:row>
      <xdr:rowOff>78441</xdr:rowOff>
    </xdr:from>
    <xdr:to>
      <xdr:col>9</xdr:col>
      <xdr:colOff>57711</xdr:colOff>
      <xdr:row>11</xdr:row>
      <xdr:rowOff>97491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986618" y="2207559"/>
          <a:ext cx="5223622" cy="7810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329045</xdr:colOff>
      <xdr:row>66</xdr:row>
      <xdr:rowOff>69272</xdr:rowOff>
    </xdr:from>
    <xdr:to>
      <xdr:col>8</xdr:col>
      <xdr:colOff>710045</xdr:colOff>
      <xdr:row>76</xdr:row>
      <xdr:rowOff>69272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04954" y="13612090"/>
          <a:ext cx="5039591" cy="19223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145596</xdr:colOff>
      <xdr:row>119</xdr:row>
      <xdr:rowOff>898071</xdr:rowOff>
    </xdr:from>
    <xdr:to>
      <xdr:col>20</xdr:col>
      <xdr:colOff>301678</xdr:colOff>
      <xdr:row>136</xdr:row>
      <xdr:rowOff>98693</xdr:rowOff>
    </xdr:to>
    <xdr:pic>
      <xdr:nvPicPr>
        <xdr:cNvPr id="21" name="Billede 2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310132" y="27323142"/>
          <a:ext cx="6891617" cy="5174158"/>
        </a:xfrm>
        <a:prstGeom prst="rect">
          <a:avLst/>
        </a:prstGeom>
      </xdr:spPr>
    </xdr:pic>
    <xdr:clientData/>
  </xdr:twoCellAnchor>
  <xdr:twoCellAnchor editAs="oneCell">
    <xdr:from>
      <xdr:col>0</xdr:col>
      <xdr:colOff>340177</xdr:colOff>
      <xdr:row>140</xdr:row>
      <xdr:rowOff>149678</xdr:rowOff>
    </xdr:from>
    <xdr:to>
      <xdr:col>1</xdr:col>
      <xdr:colOff>608238</xdr:colOff>
      <xdr:row>148</xdr:row>
      <xdr:rowOff>159203</xdr:rowOff>
    </xdr:to>
    <xdr:pic>
      <xdr:nvPicPr>
        <xdr:cNvPr id="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40177" y="33010928"/>
          <a:ext cx="3139168" cy="1533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27214</xdr:colOff>
      <xdr:row>42</xdr:row>
      <xdr:rowOff>157293</xdr:rowOff>
    </xdr:from>
    <xdr:to>
      <xdr:col>9</xdr:col>
      <xdr:colOff>557892</xdr:colOff>
      <xdr:row>54</xdr:row>
      <xdr:rowOff>14139</xdr:rowOff>
    </xdr:to>
    <xdr:pic>
      <xdr:nvPicPr>
        <xdr:cNvPr id="27" name="Billede 26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034893" y="9382936"/>
          <a:ext cx="3687535" cy="2156453"/>
        </a:xfrm>
        <a:prstGeom prst="rect">
          <a:avLst/>
        </a:prstGeom>
      </xdr:spPr>
    </xdr:pic>
    <xdr:clientData/>
  </xdr:twoCellAnchor>
  <xdr:twoCellAnchor editAs="oneCell">
    <xdr:from>
      <xdr:col>6</xdr:col>
      <xdr:colOff>462643</xdr:colOff>
      <xdr:row>106</xdr:row>
      <xdr:rowOff>108857</xdr:rowOff>
    </xdr:from>
    <xdr:to>
      <xdr:col>15</xdr:col>
      <xdr:colOff>126547</xdr:colOff>
      <xdr:row>116</xdr:row>
      <xdr:rowOff>156482</xdr:rowOff>
    </xdr:to>
    <xdr:pic>
      <xdr:nvPicPr>
        <xdr:cNvPr id="1638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205107" y="24003000"/>
          <a:ext cx="5759904" cy="19934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95250</xdr:colOff>
      <xdr:row>108</xdr:row>
      <xdr:rowOff>13607</xdr:rowOff>
    </xdr:from>
    <xdr:to>
      <xdr:col>6</xdr:col>
      <xdr:colOff>74840</xdr:colOff>
      <xdr:row>116</xdr:row>
      <xdr:rowOff>180975</xdr:rowOff>
    </xdr:to>
    <xdr:pic>
      <xdr:nvPicPr>
        <xdr:cNvPr id="1639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4776107" y="24302357"/>
          <a:ext cx="3041197" cy="17185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517071</xdr:colOff>
      <xdr:row>121</xdr:row>
      <xdr:rowOff>176893</xdr:rowOff>
    </xdr:from>
    <xdr:to>
      <xdr:col>8</xdr:col>
      <xdr:colOff>526596</xdr:colOff>
      <xdr:row>132</xdr:row>
      <xdr:rowOff>5443</xdr:rowOff>
    </xdr:to>
    <xdr:pic>
      <xdr:nvPicPr>
        <xdr:cNvPr id="1641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197928" y="28615822"/>
          <a:ext cx="4676775" cy="259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2</xdr:row>
      <xdr:rowOff>62592</xdr:rowOff>
    </xdr:from>
    <xdr:to>
      <xdr:col>13</xdr:col>
      <xdr:colOff>174892</xdr:colOff>
      <xdr:row>16</xdr:row>
      <xdr:rowOff>112333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31946" y="443592"/>
          <a:ext cx="2903124" cy="27167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21982</xdr:colOff>
      <xdr:row>6</xdr:row>
      <xdr:rowOff>147584</xdr:rowOff>
    </xdr:from>
    <xdr:to>
      <xdr:col>7</xdr:col>
      <xdr:colOff>337039</xdr:colOff>
      <xdr:row>21</xdr:row>
      <xdr:rowOff>30354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154467</xdr:colOff>
      <xdr:row>20</xdr:row>
      <xdr:rowOff>136195</xdr:rowOff>
    </xdr:from>
    <xdr:to>
      <xdr:col>9</xdr:col>
      <xdr:colOff>595827</xdr:colOff>
      <xdr:row>25</xdr:row>
      <xdr:rowOff>46656</xdr:rowOff>
    </xdr:to>
    <xdr:pic>
      <xdr:nvPicPr>
        <xdr:cNvPr id="2" name="Billed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19146" y="4844266"/>
          <a:ext cx="3502967" cy="1924319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70</xdr:row>
      <xdr:rowOff>17232</xdr:rowOff>
    </xdr:from>
    <xdr:to>
      <xdr:col>3</xdr:col>
      <xdr:colOff>100784</xdr:colOff>
      <xdr:row>83</xdr:row>
      <xdr:rowOff>150946</xdr:rowOff>
    </xdr:to>
    <xdr:pic>
      <xdr:nvPicPr>
        <xdr:cNvPr id="3" name="Billed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823" y="16355408"/>
          <a:ext cx="5699723" cy="2610214"/>
        </a:xfrm>
        <a:prstGeom prst="rect">
          <a:avLst/>
        </a:prstGeom>
      </xdr:spPr>
    </xdr:pic>
    <xdr:clientData/>
  </xdr:twoCellAnchor>
  <xdr:twoCellAnchor editAs="oneCell">
    <xdr:from>
      <xdr:col>0</xdr:col>
      <xdr:colOff>29129</xdr:colOff>
      <xdr:row>43</xdr:row>
      <xdr:rowOff>171944</xdr:rowOff>
    </xdr:from>
    <xdr:to>
      <xdr:col>3</xdr:col>
      <xdr:colOff>94496</xdr:colOff>
      <xdr:row>58</xdr:row>
      <xdr:rowOff>19922</xdr:rowOff>
    </xdr:to>
    <xdr:pic>
      <xdr:nvPicPr>
        <xdr:cNvPr id="4" name="Billed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129" y="10839944"/>
          <a:ext cx="5709129" cy="2705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57978</xdr:rowOff>
    </xdr:from>
    <xdr:to>
      <xdr:col>0</xdr:col>
      <xdr:colOff>3235374</xdr:colOff>
      <xdr:row>18</xdr:row>
      <xdr:rowOff>136298</xdr:rowOff>
    </xdr:to>
    <xdr:pic>
      <xdr:nvPicPr>
        <xdr:cNvPr id="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515717"/>
          <a:ext cx="3235374" cy="29275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25</xdr:row>
      <xdr:rowOff>149682</xdr:rowOff>
    </xdr:from>
    <xdr:to>
      <xdr:col>13</xdr:col>
      <xdr:colOff>523841</xdr:colOff>
      <xdr:row>32</xdr:row>
      <xdr:rowOff>136074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t="38331" b="33190"/>
        <a:stretch>
          <a:fillRect/>
        </a:stretch>
      </xdr:blipFill>
      <xdr:spPr bwMode="auto">
        <a:xfrm>
          <a:off x="0" y="6871611"/>
          <a:ext cx="12280412" cy="1319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151659</xdr:colOff>
      <xdr:row>7</xdr:row>
      <xdr:rowOff>133113</xdr:rowOff>
    </xdr:from>
    <xdr:to>
      <xdr:col>3</xdr:col>
      <xdr:colOff>385497</xdr:colOff>
      <xdr:row>16</xdr:row>
      <xdr:rowOff>36469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663485" y="2162352"/>
          <a:ext cx="2354777" cy="16178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78441</xdr:colOff>
      <xdr:row>39</xdr:row>
      <xdr:rowOff>33618</xdr:rowOff>
    </xdr:from>
    <xdr:to>
      <xdr:col>8</xdr:col>
      <xdr:colOff>307041</xdr:colOff>
      <xdr:row>42</xdr:row>
      <xdr:rowOff>24093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096000" y="9939618"/>
          <a:ext cx="2649070" cy="5619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509337</xdr:colOff>
      <xdr:row>45</xdr:row>
      <xdr:rowOff>91684</xdr:rowOff>
    </xdr:from>
    <xdr:to>
      <xdr:col>10</xdr:col>
      <xdr:colOff>195365</xdr:colOff>
      <xdr:row>56</xdr:row>
      <xdr:rowOff>114044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921778" y="11140684"/>
          <a:ext cx="3921852" cy="21178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102145</xdr:colOff>
      <xdr:row>42</xdr:row>
      <xdr:rowOff>147832</xdr:rowOff>
    </xdr:from>
    <xdr:to>
      <xdr:col>8</xdr:col>
      <xdr:colOff>36936</xdr:colOff>
      <xdr:row>45</xdr:row>
      <xdr:rowOff>128782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119704" y="10625332"/>
          <a:ext cx="2355261" cy="5524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1</xdr:row>
      <xdr:rowOff>19050</xdr:rowOff>
    </xdr:from>
    <xdr:to>
      <xdr:col>13</xdr:col>
      <xdr:colOff>542925</xdr:colOff>
      <xdr:row>17</xdr:row>
      <xdr:rowOff>38100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38700" y="209550"/>
          <a:ext cx="3629025" cy="30765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14</xdr:col>
      <xdr:colOff>28575</xdr:colOff>
      <xdr:row>18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76800" y="1714500"/>
          <a:ext cx="3686175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514350</xdr:colOff>
      <xdr:row>11</xdr:row>
      <xdr:rowOff>66675</xdr:rowOff>
    </xdr:from>
    <xdr:to>
      <xdr:col>7</xdr:col>
      <xdr:colOff>33632</xdr:colOff>
      <xdr:row>23</xdr:row>
      <xdr:rowOff>76506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23950" y="2162175"/>
          <a:ext cx="3329282" cy="22958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k.rs-online.com/web/p/koleplader/7226928/" TargetMode="External"/><Relationship Id="rId1" Type="http://schemas.openxmlformats.org/officeDocument/2006/relationships/hyperlink" Target="http://dk.rs-online.com/web/p/mosfet-transistorer/6887014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39"/>
  <sheetViews>
    <sheetView tabSelected="1" zoomScale="70" zoomScaleNormal="70" workbookViewId="0">
      <selection activeCell="B2" sqref="B2"/>
    </sheetView>
  </sheetViews>
  <sheetFormatPr defaultRowHeight="15"/>
  <cols>
    <col min="1" max="1" width="43.140625" customWidth="1"/>
    <col min="2" max="2" width="14.85546875" customWidth="1"/>
    <col min="3" max="3" width="12.28515625" customWidth="1"/>
    <col min="4" max="4" width="18.42578125" customWidth="1"/>
    <col min="5" max="5" width="16.42578125" customWidth="1"/>
    <col min="6" max="6" width="11" customWidth="1"/>
    <col min="7" max="7" width="11.85546875" customWidth="1"/>
    <col min="8" max="9" width="12.140625" customWidth="1"/>
  </cols>
  <sheetData>
    <row r="1" spans="1:14" ht="60.75" thickBot="1">
      <c r="A1" s="64" t="s">
        <v>91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9</v>
      </c>
      <c r="H1" s="1" t="s">
        <v>10</v>
      </c>
      <c r="I1" s="1" t="s">
        <v>4</v>
      </c>
      <c r="J1" s="1" t="s">
        <v>6</v>
      </c>
      <c r="K1" s="1" t="s">
        <v>27</v>
      </c>
      <c r="L1" s="1" t="s">
        <v>28</v>
      </c>
      <c r="M1" s="1" t="s">
        <v>7</v>
      </c>
      <c r="N1" s="3" t="s">
        <v>5</v>
      </c>
    </row>
    <row r="2" spans="1:14" ht="15.75" thickBot="1">
      <c r="B2" s="21" t="s">
        <v>11</v>
      </c>
      <c r="C2" s="26" t="s">
        <v>8</v>
      </c>
      <c r="D2" s="27">
        <v>100</v>
      </c>
      <c r="E2" s="28">
        <v>195</v>
      </c>
      <c r="F2" s="28">
        <v>290</v>
      </c>
      <c r="G2" s="28">
        <v>200</v>
      </c>
      <c r="H2" s="29">
        <v>2E-3</v>
      </c>
      <c r="I2" s="30">
        <v>2.5999999999999999E-3</v>
      </c>
      <c r="J2" s="6">
        <v>19860</v>
      </c>
      <c r="K2" s="7">
        <v>0.28999999999999998</v>
      </c>
      <c r="L2" s="31">
        <v>0.24</v>
      </c>
      <c r="M2" s="31" t="s">
        <v>13</v>
      </c>
      <c r="N2" s="32">
        <v>36.130000000000003</v>
      </c>
    </row>
    <row r="4" spans="1:14" ht="15.75" thickBot="1"/>
    <row r="5" spans="1:14">
      <c r="A5" s="8" t="s">
        <v>29</v>
      </c>
      <c r="B5" s="34"/>
      <c r="C5" s="23"/>
    </row>
    <row r="6" spans="1:14">
      <c r="A6" s="9" t="s">
        <v>30</v>
      </c>
      <c r="B6" s="5">
        <v>300</v>
      </c>
      <c r="C6" s="12" t="s">
        <v>34</v>
      </c>
    </row>
    <row r="7" spans="1:14">
      <c r="A7" s="35" t="s">
        <v>31</v>
      </c>
      <c r="B7" s="5">
        <f>B6/2^0.5</f>
        <v>212.13203435596424</v>
      </c>
      <c r="C7" s="12" t="s">
        <v>35</v>
      </c>
    </row>
    <row r="8" spans="1:14">
      <c r="A8" s="35"/>
      <c r="B8" s="5"/>
      <c r="C8" s="12"/>
    </row>
    <row r="9" spans="1:14">
      <c r="A9" s="36" t="s">
        <v>38</v>
      </c>
      <c r="B9" s="2"/>
      <c r="C9" s="12"/>
    </row>
    <row r="10" spans="1:14">
      <c r="A10" s="37" t="s">
        <v>32</v>
      </c>
      <c r="B10" s="33">
        <f>B7/2^0.5</f>
        <v>149.99999999999997</v>
      </c>
      <c r="C10" s="38" t="s">
        <v>36</v>
      </c>
    </row>
    <row r="11" spans="1:14">
      <c r="A11" s="39" t="s">
        <v>33</v>
      </c>
      <c r="B11" s="40">
        <f>B10/2</f>
        <v>74.999999999999986</v>
      </c>
      <c r="C11" s="41" t="s">
        <v>35</v>
      </c>
    </row>
    <row r="12" spans="1:14">
      <c r="A12" s="11" t="s">
        <v>37</v>
      </c>
      <c r="B12" s="4">
        <f>B6/2</f>
        <v>150</v>
      </c>
      <c r="C12" s="12" t="s">
        <v>34</v>
      </c>
    </row>
    <row r="13" spans="1:14">
      <c r="A13" s="11" t="s">
        <v>68</v>
      </c>
      <c r="B13" s="2">
        <v>52.8</v>
      </c>
      <c r="C13" s="12" t="s">
        <v>39</v>
      </c>
    </row>
    <row r="14" spans="1:14" ht="15.75" thickBot="1">
      <c r="A14" s="19" t="s">
        <v>47</v>
      </c>
      <c r="B14" s="15">
        <v>100</v>
      </c>
      <c r="C14" s="20" t="s">
        <v>39</v>
      </c>
    </row>
    <row r="17" spans="1:3" ht="15.75" thickBot="1"/>
    <row r="18" spans="1:3">
      <c r="A18" s="42" t="s">
        <v>40</v>
      </c>
      <c r="B18" s="22"/>
      <c r="C18" s="23"/>
    </row>
    <row r="19" spans="1:3">
      <c r="A19" s="18" t="s">
        <v>42</v>
      </c>
      <c r="B19" s="2">
        <v>100</v>
      </c>
      <c r="C19" s="24" t="s">
        <v>43</v>
      </c>
    </row>
    <row r="20" spans="1:3">
      <c r="A20" s="18" t="s">
        <v>168</v>
      </c>
      <c r="B20" s="95">
        <f>0.8498*EXP(0.0066*B19)</f>
        <v>1.6441865257748465</v>
      </c>
      <c r="C20" s="24"/>
    </row>
    <row r="21" spans="1:3">
      <c r="A21" s="96" t="s">
        <v>10</v>
      </c>
      <c r="B21" s="10">
        <f>H2</f>
        <v>2E-3</v>
      </c>
      <c r="C21" s="24" t="s">
        <v>45</v>
      </c>
    </row>
    <row r="22" spans="1:3">
      <c r="A22" s="18" t="s">
        <v>44</v>
      </c>
      <c r="B22" s="10">
        <f>B21*B20</f>
        <v>3.2883730515496932E-3</v>
      </c>
      <c r="C22" s="24" t="s">
        <v>45</v>
      </c>
    </row>
    <row r="23" spans="1:3" ht="15.75" thickBot="1">
      <c r="A23" s="61" t="s">
        <v>46</v>
      </c>
      <c r="B23" s="100">
        <f>B22*B11^2</f>
        <v>18.497098414967017</v>
      </c>
      <c r="C23" s="44" t="s">
        <v>15</v>
      </c>
    </row>
    <row r="25" spans="1:3" ht="15.75" thickBot="1"/>
    <row r="26" spans="1:3">
      <c r="A26" s="42" t="s">
        <v>169</v>
      </c>
      <c r="B26" s="22"/>
      <c r="C26" s="23"/>
    </row>
    <row r="27" spans="1:3">
      <c r="A27" s="18" t="s">
        <v>48</v>
      </c>
      <c r="B27" s="45">
        <v>20000</v>
      </c>
      <c r="C27" s="12" t="s">
        <v>49</v>
      </c>
    </row>
    <row r="28" spans="1:3">
      <c r="A28" s="18"/>
      <c r="B28" s="2"/>
      <c r="C28" s="12"/>
    </row>
    <row r="29" spans="1:3">
      <c r="A29" s="18" t="s">
        <v>73</v>
      </c>
      <c r="B29" s="101">
        <f>'Swtching loss'!C89</f>
        <v>48.688757033248081</v>
      </c>
      <c r="C29" s="41" t="s">
        <v>15</v>
      </c>
    </row>
    <row r="30" spans="1:3" ht="15.75" thickBot="1">
      <c r="A30" s="19"/>
      <c r="B30" s="46"/>
      <c r="C30" s="44"/>
    </row>
    <row r="32" spans="1:3" ht="15.75" thickBot="1"/>
    <row r="33" spans="1:29">
      <c r="A33" s="62" t="s">
        <v>74</v>
      </c>
      <c r="B33" s="22"/>
      <c r="C33" s="23"/>
    </row>
    <row r="34" spans="1:29" ht="15.75" thickBot="1">
      <c r="A34" s="63" t="s">
        <v>75</v>
      </c>
      <c r="B34" s="102">
        <f>B29+B23</f>
        <v>67.185855448215094</v>
      </c>
      <c r="C34" s="44" t="s">
        <v>15</v>
      </c>
    </row>
    <row r="37" spans="1:29" ht="15.75" thickBo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36">
      <c r="A38" s="65" t="s">
        <v>76</v>
      </c>
    </row>
    <row r="39" spans="1:29" ht="15.75" thickBot="1"/>
    <row r="40" spans="1:29" ht="30.75" thickBot="1">
      <c r="B40" s="1" t="s">
        <v>0</v>
      </c>
      <c r="C40" s="1" t="s">
        <v>1</v>
      </c>
      <c r="D40" s="66" t="s">
        <v>16</v>
      </c>
      <c r="E40" s="66" t="s">
        <v>17</v>
      </c>
      <c r="F40" s="66" t="s">
        <v>20</v>
      </c>
      <c r="G40" s="66" t="s">
        <v>18</v>
      </c>
      <c r="H40" s="67" t="s">
        <v>25</v>
      </c>
      <c r="I40" s="67" t="s">
        <v>19</v>
      </c>
    </row>
    <row r="41" spans="1:29" ht="15.75" thickBot="1">
      <c r="B41" s="14" t="s">
        <v>21</v>
      </c>
      <c r="C41" s="15" t="s">
        <v>8</v>
      </c>
      <c r="D41" s="15" t="s">
        <v>22</v>
      </c>
      <c r="E41" s="15" t="s">
        <v>23</v>
      </c>
      <c r="F41" s="16" t="s">
        <v>24</v>
      </c>
      <c r="G41" s="15">
        <v>2.5</v>
      </c>
      <c r="H41" s="15" t="s">
        <v>14</v>
      </c>
      <c r="I41" s="17">
        <v>37.270000000000003</v>
      </c>
    </row>
    <row r="43" spans="1:29" ht="15.75" thickBot="1"/>
    <row r="44" spans="1:29">
      <c r="A44" s="68" t="s">
        <v>77</v>
      </c>
      <c r="B44" s="22"/>
      <c r="C44" s="23"/>
    </row>
    <row r="45" spans="1:29">
      <c r="A45" s="11" t="s">
        <v>79</v>
      </c>
      <c r="B45" s="10">
        <f>((0.008*0.028)+(0.028-0.0125)*0.042)</f>
        <v>8.7500000000000002E-4</v>
      </c>
      <c r="C45" s="12" t="s">
        <v>83</v>
      </c>
    </row>
    <row r="46" spans="1:29">
      <c r="A46" s="11" t="s">
        <v>80</v>
      </c>
      <c r="B46" s="10">
        <v>8.4000000000000005E-2</v>
      </c>
      <c r="C46" s="12" t="s">
        <v>84</v>
      </c>
    </row>
    <row r="47" spans="1:29">
      <c r="A47" s="11" t="s">
        <v>78</v>
      </c>
      <c r="B47" s="10">
        <f>B46*B45</f>
        <v>7.3500000000000011E-5</v>
      </c>
      <c r="C47" s="12" t="s">
        <v>82</v>
      </c>
    </row>
    <row r="48" spans="1:29">
      <c r="A48" s="11"/>
      <c r="B48" s="2"/>
      <c r="C48" s="12"/>
    </row>
    <row r="49" spans="1:3">
      <c r="A49" s="11" t="s">
        <v>92</v>
      </c>
      <c r="B49" s="2">
        <v>2</v>
      </c>
      <c r="C49" s="12"/>
    </row>
    <row r="50" spans="1:3">
      <c r="A50" s="11" t="s">
        <v>93</v>
      </c>
      <c r="B50" s="10">
        <f>B47/B49</f>
        <v>3.6750000000000006E-5</v>
      </c>
      <c r="C50" s="12" t="s">
        <v>82</v>
      </c>
    </row>
    <row r="51" spans="1:3">
      <c r="A51" s="11"/>
      <c r="B51" s="2"/>
      <c r="C51" s="12"/>
    </row>
    <row r="52" spans="1:3">
      <c r="A52" s="11" t="s">
        <v>81</v>
      </c>
      <c r="B52" s="2">
        <v>2700</v>
      </c>
      <c r="C52" s="12" t="s">
        <v>85</v>
      </c>
    </row>
    <row r="53" spans="1:3">
      <c r="A53" s="11" t="s">
        <v>88</v>
      </c>
      <c r="B53" s="45">
        <f>B50*B52</f>
        <v>9.9225000000000022E-2</v>
      </c>
      <c r="C53" s="12" t="s">
        <v>89</v>
      </c>
    </row>
    <row r="54" spans="1:3">
      <c r="A54" s="11" t="s">
        <v>86</v>
      </c>
      <c r="B54" s="45">
        <v>900</v>
      </c>
      <c r="C54" s="12" t="s">
        <v>87</v>
      </c>
    </row>
    <row r="55" spans="1:3" ht="15.75" thickBot="1">
      <c r="A55" s="19" t="s">
        <v>94</v>
      </c>
      <c r="B55" s="43">
        <f>B54*B53</f>
        <v>89.302500000000023</v>
      </c>
      <c r="C55" s="44" t="s">
        <v>90</v>
      </c>
    </row>
    <row r="58" spans="1:3" ht="15.75" thickBot="1"/>
    <row r="59" spans="1:3">
      <c r="A59" s="68" t="s">
        <v>95</v>
      </c>
      <c r="B59" s="22"/>
      <c r="C59" s="23"/>
    </row>
    <row r="60" spans="1:3">
      <c r="A60" s="18" t="s">
        <v>96</v>
      </c>
      <c r="B60" s="2">
        <f>K2</f>
        <v>0.28999999999999998</v>
      </c>
      <c r="C60" s="24" t="s">
        <v>97</v>
      </c>
    </row>
    <row r="61" spans="1:3">
      <c r="A61" s="18" t="s">
        <v>98</v>
      </c>
      <c r="B61" s="2">
        <f>L2</f>
        <v>0.24</v>
      </c>
      <c r="C61" s="24" t="s">
        <v>97</v>
      </c>
    </row>
    <row r="62" spans="1:3" ht="15.75" thickBot="1">
      <c r="A62" s="61" t="s">
        <v>99</v>
      </c>
      <c r="B62" s="15">
        <f>G41</f>
        <v>2.5</v>
      </c>
      <c r="C62" s="25" t="s">
        <v>97</v>
      </c>
    </row>
    <row r="65" spans="1:29" ht="15.75" thickBot="1"/>
    <row r="66" spans="1:29">
      <c r="A66" s="68" t="s">
        <v>100</v>
      </c>
      <c r="B66" s="22"/>
      <c r="C66" s="23"/>
    </row>
    <row r="67" spans="1:29">
      <c r="A67" s="18" t="s">
        <v>103</v>
      </c>
      <c r="B67" s="2">
        <v>25</v>
      </c>
      <c r="C67" s="24" t="s">
        <v>26</v>
      </c>
    </row>
    <row r="68" spans="1:29">
      <c r="A68" s="18" t="s">
        <v>104</v>
      </c>
      <c r="B68" s="2">
        <f>'Max power time'!B22</f>
        <v>5</v>
      </c>
      <c r="C68" s="12" t="s">
        <v>55</v>
      </c>
    </row>
    <row r="69" spans="1:29">
      <c r="A69" s="18" t="s">
        <v>101</v>
      </c>
      <c r="B69" s="2">
        <v>1</v>
      </c>
      <c r="C69" s="12"/>
    </row>
    <row r="70" spans="1:29">
      <c r="A70" s="18" t="s">
        <v>102</v>
      </c>
      <c r="B70" s="101">
        <f>(B69*B62*B34)*(1-EXP(-B68/(B62*B55)))+B67</f>
        <v>28.719890284068864</v>
      </c>
      <c r="C70" s="69" t="s">
        <v>26</v>
      </c>
    </row>
    <row r="71" spans="1:29">
      <c r="A71" s="18" t="s">
        <v>105</v>
      </c>
      <c r="B71" s="101">
        <f>B70+B34*B61</f>
        <v>44.844495591640481</v>
      </c>
      <c r="C71" s="69" t="s">
        <v>26</v>
      </c>
    </row>
    <row r="72" spans="1:29" ht="15.75" thickBot="1">
      <c r="A72" s="61" t="s">
        <v>106</v>
      </c>
      <c r="B72" s="100">
        <f>B71+B34*B60</f>
        <v>64.328393671622848</v>
      </c>
      <c r="C72" s="70" t="s">
        <v>26</v>
      </c>
    </row>
    <row r="78" spans="1:29" ht="15.75" thickBo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08">
      <c r="A79" s="74" t="s">
        <v>161</v>
      </c>
    </row>
    <row r="81" spans="1:5" ht="15.75" thickBot="1"/>
    <row r="82" spans="1:5">
      <c r="A82" s="75" t="s">
        <v>147</v>
      </c>
      <c r="B82" s="22"/>
      <c r="C82" s="23"/>
    </row>
    <row r="83" spans="1:5">
      <c r="A83" s="11" t="s">
        <v>144</v>
      </c>
      <c r="B83" s="95">
        <f>'Nominal current in MOSFET'!B22</f>
        <v>11.321030775784678</v>
      </c>
      <c r="C83" s="12" t="s">
        <v>143</v>
      </c>
    </row>
    <row r="84" spans="1:5">
      <c r="A84" s="11" t="s">
        <v>145</v>
      </c>
      <c r="B84" s="95">
        <f>B83/2^0.5</f>
        <v>8.0051776315789454</v>
      </c>
      <c r="C84" s="12" t="s">
        <v>143</v>
      </c>
    </row>
    <row r="85" spans="1:5" ht="15.75" thickBot="1">
      <c r="A85" s="19" t="s">
        <v>146</v>
      </c>
      <c r="B85" s="99">
        <f>B84/2</f>
        <v>4.0025888157894727</v>
      </c>
      <c r="C85" s="20" t="s">
        <v>143</v>
      </c>
    </row>
    <row r="86" spans="1:5" ht="15.75" thickBot="1"/>
    <row r="87" spans="1:5" ht="33.75" customHeight="1">
      <c r="A87" s="76" t="s">
        <v>148</v>
      </c>
      <c r="B87" s="22"/>
      <c r="C87" s="23"/>
    </row>
    <row r="88" spans="1:5" ht="15.75" thickBot="1">
      <c r="A88" s="61" t="s">
        <v>151</v>
      </c>
      <c r="B88" s="43">
        <f>B85^2*B22</f>
        <v>5.268209479998362E-2</v>
      </c>
      <c r="C88" s="44" t="s">
        <v>15</v>
      </c>
    </row>
    <row r="89" spans="1:5" ht="15.75" thickBot="1"/>
    <row r="90" spans="1:5" ht="33" customHeight="1">
      <c r="A90" s="76" t="s">
        <v>149</v>
      </c>
      <c r="B90" s="22"/>
      <c r="C90" s="23"/>
    </row>
    <row r="91" spans="1:5" ht="45">
      <c r="A91" s="77" t="s">
        <v>150</v>
      </c>
      <c r="B91" s="2"/>
      <c r="C91" s="12"/>
      <c r="E91" t="s">
        <v>55</v>
      </c>
    </row>
    <row r="92" spans="1:5" ht="15.75" thickBot="1">
      <c r="A92" s="61" t="s">
        <v>152</v>
      </c>
      <c r="B92" s="46">
        <v>5</v>
      </c>
      <c r="C92" s="44" t="s">
        <v>15</v>
      </c>
    </row>
    <row r="94" spans="1:5" ht="15.75" thickBot="1"/>
    <row r="95" spans="1:5" ht="32.25" customHeight="1">
      <c r="A95" s="78" t="s">
        <v>153</v>
      </c>
      <c r="B95" s="22"/>
      <c r="C95" s="23"/>
    </row>
    <row r="96" spans="1:5" ht="15.75" thickBot="1">
      <c r="A96" s="63" t="s">
        <v>75</v>
      </c>
      <c r="B96" s="79">
        <f>B92+B88</f>
        <v>5.0526820947999838</v>
      </c>
      <c r="C96" s="44" t="s">
        <v>15</v>
      </c>
    </row>
    <row r="98" spans="1:3" ht="15.75" thickBot="1"/>
    <row r="99" spans="1:3">
      <c r="A99" s="68" t="s">
        <v>159</v>
      </c>
      <c r="B99" s="22"/>
      <c r="C99" s="23"/>
    </row>
    <row r="100" spans="1:3">
      <c r="A100" s="80" t="s">
        <v>156</v>
      </c>
      <c r="B100" s="2"/>
      <c r="C100" s="12"/>
    </row>
    <row r="101" spans="1:3">
      <c r="A101" s="18" t="s">
        <v>154</v>
      </c>
      <c r="B101" s="2">
        <v>33.33</v>
      </c>
      <c r="C101" s="12" t="s">
        <v>157</v>
      </c>
    </row>
    <row r="102" spans="1:3">
      <c r="A102" s="18" t="s">
        <v>107</v>
      </c>
      <c r="B102" s="2">
        <v>33.33</v>
      </c>
      <c r="C102" s="12" t="s">
        <v>157</v>
      </c>
    </row>
    <row r="103" spans="1:3">
      <c r="A103" s="18" t="s">
        <v>155</v>
      </c>
      <c r="B103" s="2">
        <f>100-B102-B101</f>
        <v>33.340000000000003</v>
      </c>
      <c r="C103" s="12" t="s">
        <v>157</v>
      </c>
    </row>
    <row r="104" spans="1:3">
      <c r="A104" s="82"/>
      <c r="B104" s="2"/>
      <c r="C104" s="12"/>
    </row>
    <row r="105" spans="1:3">
      <c r="A105" s="82" t="s">
        <v>158</v>
      </c>
      <c r="B105" s="2"/>
      <c r="C105" s="12"/>
    </row>
    <row r="106" spans="1:3">
      <c r="A106" s="82"/>
      <c r="B106" s="2"/>
      <c r="C106" s="12"/>
    </row>
    <row r="107" spans="1:3" ht="15.75" thickBot="1">
      <c r="A107" s="83" t="s">
        <v>160</v>
      </c>
      <c r="B107" s="46">
        <f>B96*B102/100+B34*B101/100</f>
        <v>24.077104563086923</v>
      </c>
      <c r="C107" s="44" t="s">
        <v>15</v>
      </c>
    </row>
    <row r="108" spans="1:3">
      <c r="A108" s="81"/>
    </row>
    <row r="109" spans="1:3" ht="15.75" thickBot="1">
      <c r="A109" s="81"/>
    </row>
    <row r="110" spans="1:3">
      <c r="A110" s="84" t="s">
        <v>163</v>
      </c>
      <c r="B110" s="22"/>
      <c r="C110" s="23"/>
    </row>
    <row r="111" spans="1:3">
      <c r="A111" s="18" t="s">
        <v>102</v>
      </c>
      <c r="B111" s="60">
        <f>B67+B107*B62*B69</f>
        <v>85.192761407717313</v>
      </c>
      <c r="C111" s="69" t="s">
        <v>26</v>
      </c>
    </row>
    <row r="112" spans="1:3">
      <c r="A112" s="18" t="s">
        <v>105</v>
      </c>
      <c r="B112" s="60">
        <f>B111+B107*B61</f>
        <v>90.971266502858171</v>
      </c>
      <c r="C112" s="69" t="s">
        <v>26</v>
      </c>
    </row>
    <row r="113" spans="1:29" ht="15.75" thickBot="1">
      <c r="A113" s="61" t="s">
        <v>106</v>
      </c>
      <c r="B113" s="46">
        <f>B112+B107*B60</f>
        <v>97.953626826153382</v>
      </c>
      <c r="C113" s="70" t="s">
        <v>26</v>
      </c>
    </row>
    <row r="115" spans="1:29">
      <c r="A115" s="81"/>
    </row>
    <row r="116" spans="1:29">
      <c r="A116" s="81"/>
    </row>
    <row r="117" spans="1:29">
      <c r="A117" s="81"/>
    </row>
    <row r="119" spans="1:29" ht="15.75" thickBo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44">
      <c r="A120" s="74" t="s">
        <v>162</v>
      </c>
    </row>
    <row r="123" spans="1:29" ht="15.75" thickBot="1"/>
    <row r="124" spans="1:29" ht="18.75">
      <c r="A124" s="108" t="s">
        <v>166</v>
      </c>
      <c r="B124" s="109"/>
      <c r="C124" s="110"/>
    </row>
    <row r="125" spans="1:29" ht="18.75">
      <c r="A125" s="111" t="s">
        <v>167</v>
      </c>
      <c r="B125" s="112">
        <f>B34-B107</f>
        <v>43.108750885128174</v>
      </c>
      <c r="C125" s="113" t="s">
        <v>15</v>
      </c>
    </row>
    <row r="126" spans="1:29" ht="18.75">
      <c r="A126" s="114"/>
      <c r="B126" s="115"/>
      <c r="C126" s="116"/>
    </row>
    <row r="127" spans="1:29" ht="18.75">
      <c r="A127" s="114"/>
      <c r="B127" s="115"/>
      <c r="C127" s="116"/>
    </row>
    <row r="128" spans="1:29" ht="18.75">
      <c r="A128" s="111" t="s">
        <v>102</v>
      </c>
      <c r="B128" s="117">
        <f>B69*B125*B62*(1-EXP(-B49/(B62*B55)))</f>
        <v>0.96114297546000604</v>
      </c>
      <c r="C128" s="118" t="s">
        <v>26</v>
      </c>
    </row>
    <row r="129" spans="1:3" ht="39.75" customHeight="1">
      <c r="A129" s="111" t="s">
        <v>105</v>
      </c>
      <c r="B129" s="117">
        <f>B128+B125*B61</f>
        <v>11.307243187890768</v>
      </c>
      <c r="C129" s="118" t="s">
        <v>26</v>
      </c>
    </row>
    <row r="130" spans="1:3" ht="19.5" thickBot="1">
      <c r="A130" s="119" t="s">
        <v>106</v>
      </c>
      <c r="B130" s="120">
        <f>B129+B125*B60</f>
        <v>23.808780944577936</v>
      </c>
      <c r="C130" s="121" t="s">
        <v>26</v>
      </c>
    </row>
    <row r="132" spans="1:3" ht="15.75" thickBot="1"/>
    <row r="133" spans="1:3" ht="23.25">
      <c r="A133" s="85" t="s">
        <v>164</v>
      </c>
      <c r="B133" s="86"/>
      <c r="C133" s="87"/>
    </row>
    <row r="134" spans="1:3" ht="23.25">
      <c r="A134" s="88" t="s">
        <v>102</v>
      </c>
      <c r="B134" s="107">
        <f>B111+B128</f>
        <v>86.15390438317732</v>
      </c>
      <c r="C134" s="90" t="s">
        <v>26</v>
      </c>
    </row>
    <row r="135" spans="1:3" ht="23.25">
      <c r="A135" s="88" t="s">
        <v>105</v>
      </c>
      <c r="B135" s="89">
        <f>B112+B129</f>
        <v>102.27850969074893</v>
      </c>
      <c r="C135" s="90" t="s">
        <v>26</v>
      </c>
    </row>
    <row r="136" spans="1:3" ht="24" thickBot="1">
      <c r="A136" s="91" t="s">
        <v>106</v>
      </c>
      <c r="B136" s="92">
        <f>B113+B130</f>
        <v>121.76240777073131</v>
      </c>
      <c r="C136" s="93" t="s">
        <v>26</v>
      </c>
    </row>
    <row r="138" spans="1:3" ht="46.5">
      <c r="A138" s="94" t="s">
        <v>165</v>
      </c>
      <c r="B138" t="str">
        <f>IF(B136&lt;B19,"Yes","No")</f>
        <v>No</v>
      </c>
    </row>
    <row r="139" spans="1:3">
      <c r="B139" t="str">
        <f>IF(B136&lt;B19,"Yes","No")</f>
        <v>No</v>
      </c>
    </row>
  </sheetData>
  <conditionalFormatting sqref="B138">
    <cfRule type="expression" dxfId="1" priority="2">
      <formula>$B$138:$B$144="No"</formula>
    </cfRule>
  </conditionalFormatting>
  <conditionalFormatting sqref="B139">
    <cfRule type="expression" dxfId="0" priority="1">
      <formula>$B$139="Yes"</formula>
    </cfRule>
  </conditionalFormatting>
  <hyperlinks>
    <hyperlink ref="B2" r:id="rId1"/>
    <hyperlink ref="B41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zoomScale="70" zoomScaleNormal="70" workbookViewId="0">
      <selection activeCell="J29" sqref="J29"/>
    </sheetView>
  </sheetViews>
  <sheetFormatPr defaultRowHeight="15"/>
  <cols>
    <col min="4" max="4" width="43.5703125" customWidth="1"/>
  </cols>
  <sheetData>
    <row r="1" spans="1:4">
      <c r="A1">
        <v>-20</v>
      </c>
      <c r="B1">
        <v>0.75</v>
      </c>
    </row>
    <row r="2" spans="1:4">
      <c r="A2">
        <v>25</v>
      </c>
      <c r="B2">
        <v>1</v>
      </c>
    </row>
    <row r="3" spans="1:4">
      <c r="A3">
        <v>60</v>
      </c>
      <c r="B3">
        <v>1.25</v>
      </c>
      <c r="D3" t="s">
        <v>41</v>
      </c>
    </row>
    <row r="4" spans="1:4">
      <c r="A4">
        <v>90</v>
      </c>
      <c r="B4">
        <v>1.5</v>
      </c>
    </row>
    <row r="5" spans="1:4">
      <c r="A5">
        <v>100</v>
      </c>
      <c r="B5">
        <v>1.7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T89"/>
  <sheetViews>
    <sheetView topLeftCell="A31" zoomScale="85" zoomScaleNormal="85" workbookViewId="0">
      <selection activeCell="C38" sqref="C38"/>
    </sheetView>
  </sheetViews>
  <sheetFormatPr defaultRowHeight="15"/>
  <cols>
    <col min="1" max="1" width="52.7109375" customWidth="1"/>
    <col min="2" max="2" width="13.42578125" customWidth="1"/>
    <col min="3" max="3" width="18.28515625" bestFit="1" customWidth="1"/>
  </cols>
  <sheetData>
    <row r="3" spans="1:4" ht="69.75">
      <c r="A3" s="48" t="s">
        <v>50</v>
      </c>
    </row>
    <row r="4" spans="1:4" ht="15.75" thickBot="1"/>
    <row r="5" spans="1:4" ht="29.25" thickBot="1">
      <c r="B5" s="49" t="s">
        <v>51</v>
      </c>
      <c r="C5" s="50">
        <f>0.00000002</f>
        <v>2E-8</v>
      </c>
      <c r="D5" s="51" t="s">
        <v>52</v>
      </c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.75" thickBo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ht="69.75">
      <c r="A21" s="48" t="s">
        <v>53</v>
      </c>
    </row>
    <row r="22" spans="1:19" ht="15.75" thickBot="1"/>
    <row r="23" spans="1:19" ht="28.5">
      <c r="B23" s="52" t="s">
        <v>54</v>
      </c>
      <c r="C23" s="53">
        <v>2.2999999999999999E-7</v>
      </c>
      <c r="D23" s="54" t="s">
        <v>55</v>
      </c>
    </row>
    <row r="24" spans="1:19" ht="29.25" thickBot="1">
      <c r="B24" s="55" t="s">
        <v>56</v>
      </c>
      <c r="C24" s="56">
        <v>2.6E-7</v>
      </c>
      <c r="D24" s="57" t="s">
        <v>55</v>
      </c>
    </row>
    <row r="35" spans="1:19" ht="15.75" thickBo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19" ht="29.25" thickBot="1">
      <c r="A36" s="13" t="s">
        <v>57</v>
      </c>
    </row>
    <row r="37" spans="1:19" ht="42">
      <c r="A37" s="47" t="s">
        <v>58</v>
      </c>
      <c r="B37" s="72" t="s">
        <v>59</v>
      </c>
      <c r="C37" s="22">
        <f>2.3/2</f>
        <v>1.1499999999999999</v>
      </c>
      <c r="D37" s="23" t="s">
        <v>34</v>
      </c>
    </row>
    <row r="38" spans="1:19">
      <c r="A38" t="s">
        <v>60</v>
      </c>
      <c r="B38" s="11" t="s">
        <v>61</v>
      </c>
      <c r="C38" s="2">
        <v>4.5599999999999996</v>
      </c>
      <c r="D38" s="12" t="s">
        <v>39</v>
      </c>
    </row>
    <row r="39" spans="1:19">
      <c r="A39" t="s">
        <v>62</v>
      </c>
      <c r="B39" s="11" t="s">
        <v>63</v>
      </c>
      <c r="C39" s="2">
        <v>2</v>
      </c>
      <c r="D39" s="12" t="s">
        <v>39</v>
      </c>
    </row>
    <row r="40" spans="1:19">
      <c r="B40" s="11"/>
      <c r="C40" s="2"/>
      <c r="D40" s="12"/>
    </row>
    <row r="41" spans="1:19">
      <c r="A41" t="s">
        <v>64</v>
      </c>
      <c r="B41" s="11" t="s">
        <v>65</v>
      </c>
      <c r="C41" s="97">
        <f>C5*(C38-C39)/C37</f>
        <v>4.4521739130434782E-8</v>
      </c>
      <c r="D41" s="12" t="s">
        <v>55</v>
      </c>
    </row>
    <row r="42" spans="1:19">
      <c r="B42" s="11" t="s">
        <v>170</v>
      </c>
      <c r="C42" s="97">
        <f>C41+C24</f>
        <v>3.045217391304348E-7</v>
      </c>
      <c r="D42" s="12" t="s">
        <v>55</v>
      </c>
    </row>
    <row r="43" spans="1:19" ht="15.75" thickBot="1">
      <c r="A43" t="s">
        <v>66</v>
      </c>
      <c r="B43" s="19" t="s">
        <v>67</v>
      </c>
      <c r="C43" s="98">
        <f>0.5*('Swtching loss'!C41+C24)*'IRFP4468PbF loss and tempurtur'!$B$13*'IRFP4468PbF loss and tempurtur'!$B$12*'IRFP4468PbF loss and tempurtur'!$B$27</f>
        <v>24.118121739130434</v>
      </c>
      <c r="D43" s="44" t="s">
        <v>15</v>
      </c>
    </row>
    <row r="60" spans="1:19" ht="15.75" thickBo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1:19">
      <c r="R61" s="2"/>
      <c r="S61" s="2"/>
    </row>
    <row r="62" spans="1:19" ht="29.25" thickBot="1">
      <c r="A62" s="13" t="s">
        <v>69</v>
      </c>
      <c r="R62" s="2"/>
      <c r="S62" s="2"/>
    </row>
    <row r="63" spans="1:19" ht="42">
      <c r="A63" s="47" t="s">
        <v>58</v>
      </c>
      <c r="B63" s="72" t="s">
        <v>59</v>
      </c>
      <c r="C63" s="22">
        <f>1.7/2</f>
        <v>0.85</v>
      </c>
      <c r="D63" s="23" t="s">
        <v>34</v>
      </c>
    </row>
    <row r="64" spans="1:19">
      <c r="A64" t="s">
        <v>60</v>
      </c>
      <c r="B64" s="11" t="s">
        <v>61</v>
      </c>
      <c r="C64" s="2">
        <v>4.5599999999999996</v>
      </c>
      <c r="D64" s="12" t="s">
        <v>39</v>
      </c>
    </row>
    <row r="65" spans="1:4">
      <c r="A65" t="s">
        <v>62</v>
      </c>
      <c r="B65" s="11" t="s">
        <v>63</v>
      </c>
      <c r="C65" s="2">
        <v>2</v>
      </c>
      <c r="D65" s="12" t="s">
        <v>39</v>
      </c>
    </row>
    <row r="66" spans="1:4">
      <c r="B66" s="11"/>
      <c r="C66" s="2"/>
      <c r="D66" s="12"/>
    </row>
    <row r="67" spans="1:4">
      <c r="A67" t="s">
        <v>70</v>
      </c>
      <c r="B67" s="11" t="s">
        <v>171</v>
      </c>
      <c r="C67" s="97">
        <f>C5*(C38-C37)/C63</f>
        <v>8.0235294117647064E-8</v>
      </c>
      <c r="D67" s="12" t="s">
        <v>55</v>
      </c>
    </row>
    <row r="68" spans="1:4">
      <c r="B68" s="11" t="s">
        <v>170</v>
      </c>
      <c r="C68" s="10">
        <f>C67+C23</f>
        <v>3.1023529411764709E-7</v>
      </c>
      <c r="D68" s="12" t="s">
        <v>55</v>
      </c>
    </row>
    <row r="69" spans="1:4" ht="15.75" thickBot="1">
      <c r="A69" t="s">
        <v>66</v>
      </c>
      <c r="B69" s="19" t="s">
        <v>67</v>
      </c>
      <c r="C69" s="100">
        <f>0.5*(C67+C23)*'IRFP4468PbF loss and tempurtur'!$B$12*'IRFP4468PbF loss and tempurtur'!$B$13*'IRFP4468PbF loss and tempurtur'!$B$27</f>
        <v>24.570635294117647</v>
      </c>
      <c r="D69" s="44" t="s">
        <v>15</v>
      </c>
    </row>
    <row r="85" spans="1:20" ht="15.75" thickBo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7" spans="1:20" ht="61.5">
      <c r="A87" s="58" t="s">
        <v>71</v>
      </c>
    </row>
    <row r="89" spans="1:20" ht="21">
      <c r="B89" s="59" t="s">
        <v>72</v>
      </c>
      <c r="C89" s="59">
        <f>C69+C43</f>
        <v>48.688757033248081</v>
      </c>
      <c r="D89" s="59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topLeftCell="A4" workbookViewId="0">
      <selection activeCell="F10" sqref="F10"/>
    </sheetView>
  </sheetViews>
  <sheetFormatPr defaultRowHeight="15"/>
  <cols>
    <col min="1" max="1" width="25.28515625" customWidth="1"/>
  </cols>
  <sheetData>
    <row r="1" spans="1:3">
      <c r="A1" t="s">
        <v>107</v>
      </c>
      <c r="B1">
        <v>50</v>
      </c>
      <c r="C1" t="s">
        <v>108</v>
      </c>
    </row>
    <row r="2" spans="1:3">
      <c r="B2">
        <f>B1/3.6</f>
        <v>13.888888888888889</v>
      </c>
      <c r="C2" t="s">
        <v>109</v>
      </c>
    </row>
    <row r="4" spans="1:3">
      <c r="A4" t="s">
        <v>110</v>
      </c>
      <c r="B4">
        <v>250</v>
      </c>
      <c r="C4" t="s">
        <v>111</v>
      </c>
    </row>
    <row r="6" spans="1:3">
      <c r="A6" t="s">
        <v>116</v>
      </c>
      <c r="B6">
        <v>30</v>
      </c>
      <c r="C6" t="s">
        <v>112</v>
      </c>
    </row>
    <row r="8" spans="1:3">
      <c r="A8" t="s">
        <v>113</v>
      </c>
      <c r="B8">
        <v>12</v>
      </c>
    </row>
    <row r="9" spans="1:3">
      <c r="A9" t="s">
        <v>114</v>
      </c>
      <c r="B9">
        <v>50</v>
      </c>
    </row>
    <row r="10" spans="1:3">
      <c r="A10" t="s">
        <v>115</v>
      </c>
      <c r="B10">
        <f>B8/B9</f>
        <v>0.24</v>
      </c>
    </row>
    <row r="12" spans="1:3">
      <c r="A12" t="s">
        <v>117</v>
      </c>
      <c r="B12">
        <f>B6/B10</f>
        <v>125</v>
      </c>
      <c r="C12" t="s">
        <v>112</v>
      </c>
    </row>
    <row r="14" spans="1:3">
      <c r="A14" t="s">
        <v>118</v>
      </c>
      <c r="B14">
        <v>5.5</v>
      </c>
      <c r="C14" t="s">
        <v>119</v>
      </c>
    </row>
    <row r="15" spans="1:3">
      <c r="B15">
        <f>B14*0.0254</f>
        <v>0.13969999999999999</v>
      </c>
      <c r="C15" t="s">
        <v>84</v>
      </c>
    </row>
    <row r="17" spans="1:3">
      <c r="A17" t="s">
        <v>120</v>
      </c>
      <c r="B17">
        <f>B12/B15</f>
        <v>894.77451682176093</v>
      </c>
      <c r="C17" t="s">
        <v>121</v>
      </c>
    </row>
    <row r="19" spans="1:3">
      <c r="A19" t="s">
        <v>122</v>
      </c>
      <c r="B19">
        <f>B17/B4</f>
        <v>3.5790980672870436</v>
      </c>
      <c r="C19" t="s">
        <v>123</v>
      </c>
    </row>
    <row r="20" spans="1:3" ht="15.75" thickBot="1"/>
    <row r="21" spans="1:3">
      <c r="A21" s="72" t="s">
        <v>124</v>
      </c>
      <c r="B21" s="22">
        <f>B2/B19</f>
        <v>3.8805555555555555</v>
      </c>
      <c r="C21" s="23" t="s">
        <v>55</v>
      </c>
    </row>
    <row r="22" spans="1:3" ht="15.75" thickBot="1">
      <c r="A22" s="73" t="s">
        <v>125</v>
      </c>
      <c r="B22" s="46">
        <v>5</v>
      </c>
      <c r="C22" s="44" t="s">
        <v>55</v>
      </c>
    </row>
    <row r="24" spans="1:3" ht="78.75">
      <c r="A24" s="71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topLeftCell="A13" workbookViewId="0">
      <selection activeCell="E17" sqref="E17"/>
    </sheetView>
  </sheetViews>
  <sheetFormatPr defaultRowHeight="15"/>
  <cols>
    <col min="1" max="1" width="39" customWidth="1"/>
  </cols>
  <sheetData>
    <row r="1" spans="1:3" ht="78.75">
      <c r="A1" s="71" t="s">
        <v>127</v>
      </c>
    </row>
    <row r="3" spans="1:3">
      <c r="A3" t="s">
        <v>128</v>
      </c>
      <c r="B3">
        <f>1*0.4+0.5*0.4</f>
        <v>0.60000000000000009</v>
      </c>
      <c r="C3" t="s">
        <v>83</v>
      </c>
    </row>
    <row r="4" spans="1:3">
      <c r="A4" t="s">
        <v>129</v>
      </c>
      <c r="B4">
        <v>0.80400000000000005</v>
      </c>
    </row>
    <row r="5" spans="1:3">
      <c r="A5" t="s">
        <v>130</v>
      </c>
      <c r="B5">
        <v>1.3</v>
      </c>
      <c r="C5" t="s">
        <v>131</v>
      </c>
    </row>
    <row r="6" spans="1:3">
      <c r="A6" t="s">
        <v>107</v>
      </c>
      <c r="B6">
        <f>'Max power time'!B1</f>
        <v>50</v>
      </c>
      <c r="C6" t="s">
        <v>108</v>
      </c>
    </row>
    <row r="7" spans="1:3">
      <c r="A7" t="s">
        <v>107</v>
      </c>
      <c r="B7" s="105">
        <f>'Max power time'!B2</f>
        <v>13.888888888888889</v>
      </c>
      <c r="C7" t="s">
        <v>109</v>
      </c>
    </row>
    <row r="9" spans="1:3">
      <c r="A9" t="s">
        <v>132</v>
      </c>
      <c r="B9" s="105">
        <f>0.5*B7^2*B5*B4*B3</f>
        <v>60.486111111111128</v>
      </c>
      <c r="C9" t="s">
        <v>121</v>
      </c>
    </row>
    <row r="11" spans="1:3">
      <c r="A11" t="s">
        <v>133</v>
      </c>
      <c r="B11" s="105">
        <f>B9*'Max power time'!B15</f>
        <v>8.4499097222222233</v>
      </c>
      <c r="C11" t="s">
        <v>112</v>
      </c>
    </row>
    <row r="12" spans="1:3">
      <c r="A12" t="s">
        <v>115</v>
      </c>
      <c r="B12">
        <f>'Max power time'!B10</f>
        <v>0.24</v>
      </c>
    </row>
    <row r="13" spans="1:3">
      <c r="A13" t="s">
        <v>116</v>
      </c>
      <c r="B13" s="105">
        <f>B11*B12</f>
        <v>2.0279783333333334</v>
      </c>
      <c r="C13" t="s">
        <v>112</v>
      </c>
    </row>
    <row r="14" spans="1:3" ht="15.75" thickBot="1"/>
    <row r="15" spans="1:3">
      <c r="A15" s="68" t="s">
        <v>134</v>
      </c>
      <c r="B15" s="22"/>
      <c r="C15" s="23"/>
    </row>
    <row r="16" spans="1:3">
      <c r="A16" s="11" t="s">
        <v>135</v>
      </c>
      <c r="B16" s="2">
        <v>38</v>
      </c>
      <c r="C16" s="12" t="s">
        <v>112</v>
      </c>
    </row>
    <row r="17" spans="1:3">
      <c r="A17" s="11" t="s">
        <v>136</v>
      </c>
      <c r="B17" s="2">
        <v>300</v>
      </c>
      <c r="C17" s="12" t="s">
        <v>137</v>
      </c>
    </row>
    <row r="18" spans="1:3" ht="15.75" thickBot="1">
      <c r="A18" s="61" t="s">
        <v>138</v>
      </c>
      <c r="B18" s="103">
        <f>B16/B17</f>
        <v>0.12666666666666668</v>
      </c>
      <c r="C18" s="20" t="s">
        <v>139</v>
      </c>
    </row>
    <row r="19" spans="1:3" ht="15.75" thickBot="1"/>
    <row r="20" spans="1:3">
      <c r="A20" s="68" t="s">
        <v>140</v>
      </c>
      <c r="B20" s="22"/>
      <c r="C20" s="23"/>
    </row>
    <row r="21" spans="1:3">
      <c r="A21" s="18" t="s">
        <v>141</v>
      </c>
      <c r="B21" s="104">
        <f>B13/B18</f>
        <v>16.010355263157894</v>
      </c>
      <c r="C21" s="12" t="s">
        <v>137</v>
      </c>
    </row>
    <row r="22" spans="1:3" ht="15.75" thickBot="1">
      <c r="A22" s="61" t="s">
        <v>142</v>
      </c>
      <c r="B22" s="106">
        <f>B21/2^0.5</f>
        <v>11.321030775784678</v>
      </c>
      <c r="C22" s="44" t="s">
        <v>143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C7"/>
  <sheetViews>
    <sheetView workbookViewId="0">
      <selection activeCell="O7" sqref="O7"/>
    </sheetView>
  </sheetViews>
  <sheetFormatPr defaultRowHeight="15"/>
  <cols>
    <col min="1" max="1" width="6.7109375" customWidth="1"/>
    <col min="2" max="2" width="14.42578125" customWidth="1"/>
    <col min="3" max="3" width="6.140625" customWidth="1"/>
  </cols>
  <sheetData>
    <row r="2" spans="1:3" ht="15.75" thickBot="1"/>
    <row r="3" spans="1:3" ht="21">
      <c r="A3" s="122" t="s">
        <v>172</v>
      </c>
      <c r="B3" s="123">
        <v>9.9999999999999995E-8</v>
      </c>
      <c r="C3" s="124" t="s">
        <v>177</v>
      </c>
    </row>
    <row r="4" spans="1:3" ht="21">
      <c r="A4" s="125" t="s">
        <v>173</v>
      </c>
      <c r="B4" s="126">
        <f>0.00012*3</f>
        <v>3.6000000000000002E-4</v>
      </c>
      <c r="C4" s="127" t="s">
        <v>52</v>
      </c>
    </row>
    <row r="5" spans="1:3" ht="21">
      <c r="A5" s="125" t="s">
        <v>174</v>
      </c>
      <c r="B5" s="128">
        <v>1</v>
      </c>
      <c r="C5" s="127"/>
    </row>
    <row r="6" spans="1:3" ht="21">
      <c r="A6" s="125" t="s">
        <v>175</v>
      </c>
      <c r="B6" s="126">
        <f>B5*B4</f>
        <v>3.6000000000000002E-4</v>
      </c>
      <c r="C6" s="127" t="s">
        <v>52</v>
      </c>
    </row>
    <row r="7" spans="1:3" ht="21.75" thickBot="1">
      <c r="A7" s="129" t="s">
        <v>176</v>
      </c>
      <c r="B7" s="130">
        <f>(B5+1)/B5*B3/(B4*B3)^0.5*(2*B5^2*(4+B5)/((2+B5)*(4+3*B5)))^0.5</f>
        <v>2.3002185311411807E-2</v>
      </c>
      <c r="C7" s="13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IRFP4468PbF loss and tempurtur</vt:lpstr>
      <vt:lpstr>Rds(on) vs. Tj</vt:lpstr>
      <vt:lpstr>Swtching loss</vt:lpstr>
      <vt:lpstr>Max power time</vt:lpstr>
      <vt:lpstr>Nominal current in MOSFET</vt:lpstr>
      <vt:lpstr>Ark1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Stergaard</dc:creator>
  <cp:lastModifiedBy>Christian Østergaard</cp:lastModifiedBy>
  <dcterms:created xsi:type="dcterms:W3CDTF">2016-04-09T16:10:24Z</dcterms:created>
  <dcterms:modified xsi:type="dcterms:W3CDTF">2016-04-27T16:50:47Z</dcterms:modified>
</cp:coreProperties>
</file>