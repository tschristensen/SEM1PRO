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EM1PRO\controller_board\"/>
    </mc:Choice>
  </mc:AlternateContent>
  <bookViews>
    <workbookView xWindow="0" yWindow="0" windowWidth="23040" windowHeight="9384" activeTab="2"/>
  </bookViews>
  <sheets>
    <sheet name="Resistors" sheetId="1" r:id="rId1"/>
    <sheet name="Capacitors" sheetId="2" r:id="rId2"/>
    <sheet name="By the number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3" l="1"/>
  <c r="C20" i="3"/>
  <c r="C21" i="3"/>
  <c r="C22" i="3"/>
  <c r="C23" i="3"/>
  <c r="H23" i="3" s="1"/>
  <c r="C18" i="3"/>
  <c r="H18" i="3" s="1"/>
  <c r="C4" i="3"/>
  <c r="H4" i="3" s="1"/>
  <c r="C5" i="3"/>
  <c r="H5" i="3" s="1"/>
  <c r="C6" i="3"/>
  <c r="H6" i="3" s="1"/>
  <c r="C7" i="3"/>
  <c r="H7" i="3" s="1"/>
  <c r="C8" i="3"/>
  <c r="H8" i="3" s="1"/>
  <c r="C9" i="3"/>
  <c r="C10" i="3"/>
  <c r="H10" i="3" s="1"/>
  <c r="C11" i="3"/>
  <c r="H11" i="3" s="1"/>
  <c r="C12" i="3"/>
  <c r="H12" i="3" s="1"/>
  <c r="C13" i="3"/>
  <c r="H13" i="3" s="1"/>
  <c r="C14" i="3"/>
  <c r="H14" i="3" s="1"/>
  <c r="C15" i="3"/>
  <c r="H15" i="3" s="1"/>
  <c r="C3" i="3"/>
  <c r="H3" i="3" s="1"/>
  <c r="Q2" i="3" l="1"/>
</calcChain>
</file>

<file path=xl/sharedStrings.xml><?xml version="1.0" encoding="utf-8"?>
<sst xmlns="http://schemas.openxmlformats.org/spreadsheetml/2006/main" count="609" uniqueCount="273">
  <si>
    <t>Name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</si>
  <si>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</si>
  <si>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</si>
  <si>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</si>
  <si>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</si>
  <si>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</si>
  <si>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</si>
  <si>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</si>
  <si>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</si>
  <si>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</si>
  <si>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</si>
  <si>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Resistance</t>
  </si>
  <si>
    <t>Type</t>
  </si>
  <si>
    <t>Housing</t>
  </si>
  <si>
    <t>nominal power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</si>
  <si>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</si>
  <si>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</si>
  <si>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</si>
  <si>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</si>
  <si>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</si>
  <si>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</si>
  <si>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</si>
  <si>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</si>
  <si>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</si>
  <si>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</si>
  <si>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</si>
  <si>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</si>
  <si>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</si>
  <si>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</si>
  <si>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</si>
  <si>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</si>
  <si>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</si>
  <si>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</si>
  <si>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</si>
  <si>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</si>
  <si>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</si>
  <si>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</si>
  <si>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</si>
  <si>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</si>
  <si>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</si>
  <si>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</si>
  <si>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</si>
  <si>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</si>
  <si>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</si>
  <si>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</si>
  <si>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</si>
  <si>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</si>
  <si>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</si>
  <si>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</si>
  <si>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</si>
  <si>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</si>
  <si>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</si>
  <si>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</si>
  <si>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</si>
  <si>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</si>
  <si>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</si>
  <si>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</si>
  <si>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</si>
  <si>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</si>
  <si>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</si>
  <si>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</si>
  <si>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</si>
  <si>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</si>
  <si>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</si>
  <si>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</si>
  <si>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</si>
  <si>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</si>
  <si>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</si>
  <si>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</si>
  <si>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</si>
  <si>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</si>
  <si>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</si>
  <si>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</si>
  <si>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</si>
  <si>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</si>
  <si>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</si>
  <si>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</si>
  <si>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</si>
  <si>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</si>
  <si>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</si>
  <si>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</si>
  <si>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</si>
  <si>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</si>
  <si>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</si>
  <si>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</si>
  <si>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</si>
  <si>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</si>
  <si>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</si>
  <si>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</si>
  <si>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</si>
  <si>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</si>
  <si>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</si>
  <si>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</si>
  <si>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</si>
  <si>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</si>
  <si>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</si>
  <si>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</si>
  <si>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</si>
  <si>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</si>
  <si>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</si>
  <si>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</si>
  <si>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</si>
  <si>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</si>
  <si>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</si>
  <si>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</si>
  <si>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</si>
  <si>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</si>
  <si>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</si>
  <si>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</si>
  <si>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</si>
  <si>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</si>
  <si>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</si>
  <si>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</si>
  <si>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</si>
  <si>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</si>
  <si>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</si>
  <si>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</si>
  <si>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</si>
  <si>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</si>
  <si>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</si>
  <si>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15k</t>
  </si>
  <si>
    <t>SMD</t>
  </si>
  <si>
    <t>capacitance</t>
  </si>
  <si>
    <t>SMD/leaded</t>
  </si>
  <si>
    <t>voltage</t>
  </si>
  <si>
    <t>Material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</si>
  <si>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</si>
  <si>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</si>
  <si>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</si>
  <si>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</si>
  <si>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</si>
  <si>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</si>
  <si>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</si>
  <si>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</si>
  <si>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</si>
  <si>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</si>
  <si>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</si>
  <si>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</si>
  <si>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</si>
  <si>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</si>
  <si>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</si>
  <si>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</si>
  <si>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</si>
  <si>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</si>
  <si>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</si>
  <si>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</si>
  <si>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</si>
  <si>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</si>
  <si>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</si>
  <si>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</si>
  <si>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</si>
  <si>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</si>
  <si>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</si>
  <si>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</si>
  <si>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</si>
  <si>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</si>
  <si>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</si>
  <si>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</si>
  <si>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</si>
  <si>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</si>
  <si>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</si>
  <si>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</si>
  <si>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</si>
  <si>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</si>
  <si>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</si>
  <si>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</si>
  <si>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</si>
  <si>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</si>
  <si>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</si>
  <si>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</si>
  <si>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</si>
  <si>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</si>
  <si>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</si>
  <si>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</si>
  <si>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</si>
  <si>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</si>
  <si>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</si>
  <si>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</si>
  <si>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</si>
  <si>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</si>
  <si>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</si>
  <si>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</si>
  <si>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</si>
  <si>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</si>
  <si>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</si>
  <si>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</si>
  <si>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</si>
  <si>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</si>
  <si>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</si>
  <si>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</si>
  <si>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</si>
  <si>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</si>
  <si>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</si>
  <si>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</si>
  <si>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</si>
  <si>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ceramic</t>
  </si>
  <si>
    <t>0805</t>
  </si>
  <si>
    <t>10k</t>
  </si>
  <si>
    <t>25 uW</t>
  </si>
  <si>
    <t>4-15 mW</t>
  </si>
  <si>
    <t>&lt;mW</t>
  </si>
  <si>
    <t>Link</t>
  </si>
  <si>
    <t>43k2</t>
  </si>
  <si>
    <t>10k5</t>
  </si>
  <si>
    <t>14k7</t>
  </si>
  <si>
    <t>83 mW</t>
  </si>
  <si>
    <t>100n</t>
  </si>
  <si>
    <t>http://dk.rs-online.com/web/p/keramiske-flerlags-kondensatorer/8029860/</t>
  </si>
  <si>
    <t>10n</t>
  </si>
  <si>
    <t>.5</t>
  </si>
  <si>
    <t>Ceramic</t>
  </si>
  <si>
    <t>5k36</t>
  </si>
  <si>
    <t>&lt;uW</t>
  </si>
  <si>
    <t>10</t>
  </si>
  <si>
    <t>7k5</t>
  </si>
  <si>
    <t>4k48</t>
  </si>
  <si>
    <t>12k4</t>
  </si>
  <si>
    <t>12mW</t>
  </si>
  <si>
    <t>http://dk.rs-online.com/web/p/keramiske-flerlags-kondensatorer/7236262/</t>
  </si>
  <si>
    <t>270p</t>
  </si>
  <si>
    <t>20k</t>
  </si>
  <si>
    <t>4k02</t>
  </si>
  <si>
    <t>95k3</t>
  </si>
  <si>
    <t>768</t>
  </si>
  <si>
    <t>2.5</t>
  </si>
  <si>
    <t>15</t>
  </si>
  <si>
    <t>Decoupling</t>
  </si>
  <si>
    <t>Resistors</t>
  </si>
  <si>
    <t>Quantity</t>
  </si>
  <si>
    <t>Names</t>
  </si>
  <si>
    <t>R03,R04</t>
  </si>
  <si>
    <t>R33,R34,R35</t>
  </si>
  <si>
    <t>R37,R42</t>
  </si>
  <si>
    <t>Value</t>
  </si>
  <si>
    <t>R08,R12,R19,R22,R24,R29</t>
  </si>
  <si>
    <t>R13,R17,R30</t>
  </si>
  <si>
    <t>R1,R2</t>
  </si>
  <si>
    <t>R18,R23,R31</t>
  </si>
  <si>
    <t>Capacitors</t>
  </si>
  <si>
    <t xml:space="preserve">voltage </t>
  </si>
  <si>
    <t>330n</t>
  </si>
  <si>
    <t>http://dk.rs-online.com/web/p/keramiske-flerlags-kondensatorer/6983557/</t>
  </si>
  <si>
    <t>C03,C04,C05</t>
  </si>
  <si>
    <t>0.5</t>
  </si>
  <si>
    <t>C01,C02</t>
  </si>
  <si>
    <t>in stock</t>
  </si>
  <si>
    <t>http://dk.rs-online.com/web/p/overflademontering-faste-modstande/7215666/</t>
  </si>
  <si>
    <t>availability</t>
  </si>
  <si>
    <t>Price</t>
  </si>
  <si>
    <t>Total</t>
  </si>
  <si>
    <t>681</t>
  </si>
  <si>
    <t>R05, R06, R07, R09, R10, R11, R14, R15, R16, R20, R21, R25, R27, R28, R32, R39, R43, R44, R45, R46, R47, R48</t>
  </si>
  <si>
    <t>3k57</t>
  </si>
  <si>
    <t>90k9</t>
  </si>
  <si>
    <t>http://dk.rs-online.com/web/p/overflademontering-faste-modstande/7086089/</t>
  </si>
  <si>
    <t>http://dk.rs-online.com/web/p/overflademontering-faste-modstande/7086297/</t>
  </si>
  <si>
    <t>4k42</t>
  </si>
  <si>
    <t>http://dk.rs-online.com/web/p/overflademontering-faste-modstande/7086326/</t>
  </si>
  <si>
    <t>package quantity</t>
  </si>
  <si>
    <t>http://dk.rs-online.com/web/p/overflademontering-faste-modstande/7086345/</t>
  </si>
  <si>
    <t>http://dk.rs-online.com/web/p/overflademontering-faste-modstande/6662588/</t>
  </si>
  <si>
    <t>http://dk.rs-online.com/web/p/overflademontering-faste-modstande/7086436/</t>
  </si>
  <si>
    <t>http://dk.rs-online.com/web/p/overflademontering-faste-modstande/6790863/</t>
  </si>
  <si>
    <t>http://dk.rs-online.com/web/p/overflademontering-faste-modstande/7086470/</t>
  </si>
  <si>
    <t>http://dk.rs-online.com/web/p/overflademontering-faste-modstande/8326741/</t>
  </si>
  <si>
    <t>http://dk.rs-online.com/web/p/overflademontering-faste-modstande/7086610/</t>
  </si>
  <si>
    <t>http://dk.rs-online.com/web/p/overflademontering-faste-modstande/7086711/</t>
  </si>
  <si>
    <t>C06, C08, C15, C17, C19, C21, C23, C25, C27, C29, C31, C33</t>
  </si>
  <si>
    <t>C07, C09, C16, C18, C20, C22, C24, C26, C28, C30, C32, C34</t>
  </si>
  <si>
    <t>http://dk.rs-online.com/web/p/keramiske-flerlags-kondensatorer/6983421/</t>
  </si>
  <si>
    <t>Boards</t>
  </si>
  <si>
    <t>Total Price</t>
  </si>
  <si>
    <t>Quantity per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</si>
</sst>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workbookViewId="0">
      <pane xSplit="11940" ySplit="576" topLeftCell="M25" activePane="bottomLeft"/>
      <selection sqref="A1:E1048576"/>
      <selection pane="topRight" activeCell="M1" sqref="M1"/>
      <selection pane="bottomLeft" activeCell="A40" sqref="A40"/>
      <selection pane="bottomRight" activeCell="M16" sqref="M16"/>
    </sheetView>
  </sheetViews>
  <sheetFormatPr defaultRowHeight="14.4" x14ac:dyDescent="0.3"/>
  <cols>
    <col min="1" max="4" width="8.88671875" style="1"/>
    <col min="5" max="5" width="11.5546875" style="1" customWidth="1"/>
  </cols>
  <sheetData>
    <row r="1" spans="1:5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s="1" t="s">
        <v>1</v>
      </c>
      <c r="B2" s="1" t="s">
        <v>211</v>
      </c>
      <c r="C2" s="1" t="s">
        <v>121</v>
      </c>
      <c r="D2" s="1" t="s">
        <v>196</v>
      </c>
      <c r="E2" s="1" t="s">
        <v>212</v>
      </c>
    </row>
    <row r="3" spans="1:5" x14ac:dyDescent="0.3">
      <c r="A3" s="1" t="s">
        <v>2</v>
      </c>
      <c r="B3" s="1" t="s">
        <v>211</v>
      </c>
      <c r="C3" s="1" t="s">
        <v>121</v>
      </c>
      <c r="D3" s="1" t="s">
        <v>196</v>
      </c>
      <c r="E3" s="1" t="s">
        <v>212</v>
      </c>
    </row>
    <row r="4" spans="1:5" x14ac:dyDescent="0.3">
      <c r="A4" s="1" t="s">
        <v>3</v>
      </c>
      <c r="B4" s="1">
        <v>3</v>
      </c>
      <c r="C4" s="1" t="s">
        <v>121</v>
      </c>
      <c r="D4" s="1" t="s">
        <v>196</v>
      </c>
      <c r="E4" s="1" t="s">
        <v>205</v>
      </c>
    </row>
    <row r="5" spans="1:5" x14ac:dyDescent="0.3">
      <c r="A5" s="1" t="s">
        <v>4</v>
      </c>
      <c r="B5" s="1">
        <v>3</v>
      </c>
      <c r="C5" s="1" t="s">
        <v>121</v>
      </c>
      <c r="D5" s="1" t="s">
        <v>196</v>
      </c>
      <c r="E5" s="1" t="s">
        <v>205</v>
      </c>
    </row>
    <row r="6" spans="1:5" x14ac:dyDescent="0.3">
      <c r="A6" s="1" t="s">
        <v>5</v>
      </c>
      <c r="B6" s="1" t="s">
        <v>197</v>
      </c>
      <c r="C6" s="1" t="s">
        <v>121</v>
      </c>
      <c r="D6" s="1" t="s">
        <v>196</v>
      </c>
      <c r="E6" s="1" t="s">
        <v>198</v>
      </c>
    </row>
    <row r="7" spans="1:5" x14ac:dyDescent="0.3">
      <c r="A7" s="1" t="s">
        <v>6</v>
      </c>
      <c r="B7" s="1" t="s">
        <v>197</v>
      </c>
      <c r="C7" s="1" t="s">
        <v>121</v>
      </c>
      <c r="D7" s="1" t="s">
        <v>196</v>
      </c>
      <c r="E7" s="1" t="s">
        <v>198</v>
      </c>
    </row>
    <row r="8" spans="1:5" x14ac:dyDescent="0.3">
      <c r="A8" s="1" t="s">
        <v>7</v>
      </c>
      <c r="B8" s="1" t="s">
        <v>197</v>
      </c>
      <c r="C8" s="1" t="s">
        <v>121</v>
      </c>
      <c r="D8" s="1" t="s">
        <v>196</v>
      </c>
      <c r="E8" s="1" t="s">
        <v>198</v>
      </c>
    </row>
    <row r="9" spans="1:5" x14ac:dyDescent="0.3">
      <c r="A9" s="1" t="s">
        <v>8</v>
      </c>
      <c r="B9" s="1" t="s">
        <v>220</v>
      </c>
      <c r="C9" s="1" t="s">
        <v>121</v>
      </c>
      <c r="D9" s="1" t="s">
        <v>196</v>
      </c>
    </row>
    <row r="10" spans="1:5" x14ac:dyDescent="0.3">
      <c r="A10" s="1" t="s">
        <v>9</v>
      </c>
      <c r="B10" s="1" t="s">
        <v>197</v>
      </c>
      <c r="C10" s="1" t="s">
        <v>121</v>
      </c>
      <c r="D10" s="1" t="s">
        <v>196</v>
      </c>
    </row>
    <row r="11" spans="1:5" x14ac:dyDescent="0.3">
      <c r="A11" s="1" t="s">
        <v>10</v>
      </c>
      <c r="B11" s="1" t="s">
        <v>197</v>
      </c>
      <c r="C11" s="1" t="s">
        <v>121</v>
      </c>
      <c r="D11" s="1" t="s">
        <v>196</v>
      </c>
    </row>
    <row r="12" spans="1:5" x14ac:dyDescent="0.3">
      <c r="A12" s="1" t="s">
        <v>15</v>
      </c>
      <c r="B12" s="1" t="s">
        <v>197</v>
      </c>
      <c r="C12" s="1" t="s">
        <v>121</v>
      </c>
      <c r="D12" s="1" t="s">
        <v>196</v>
      </c>
    </row>
    <row r="13" spans="1:5" x14ac:dyDescent="0.3">
      <c r="A13" s="1" t="s">
        <v>16</v>
      </c>
      <c r="B13" s="1" t="s">
        <v>220</v>
      </c>
      <c r="C13" s="1" t="s">
        <v>121</v>
      </c>
      <c r="D13" s="1" t="s">
        <v>196</v>
      </c>
    </row>
    <row r="14" spans="1:5" x14ac:dyDescent="0.3">
      <c r="A14" s="1" t="s">
        <v>17</v>
      </c>
      <c r="B14" s="1" t="s">
        <v>221</v>
      </c>
      <c r="C14" s="1" t="s">
        <v>121</v>
      </c>
      <c r="D14" s="1" t="s">
        <v>196</v>
      </c>
    </row>
    <row r="15" spans="1:5" x14ac:dyDescent="0.3">
      <c r="A15" s="1" t="s">
        <v>18</v>
      </c>
      <c r="B15" s="1" t="s">
        <v>197</v>
      </c>
      <c r="C15" s="1" t="s">
        <v>121</v>
      </c>
      <c r="D15" s="1" t="s">
        <v>196</v>
      </c>
    </row>
    <row r="16" spans="1:5" x14ac:dyDescent="0.3">
      <c r="A16" s="1" t="s">
        <v>19</v>
      </c>
      <c r="B16" s="1" t="s">
        <v>197</v>
      </c>
      <c r="C16" s="1" t="s">
        <v>121</v>
      </c>
      <c r="D16" s="1" t="s">
        <v>196</v>
      </c>
    </row>
    <row r="17" spans="1:8" x14ac:dyDescent="0.3">
      <c r="A17" s="1" t="s">
        <v>20</v>
      </c>
      <c r="B17" s="1" t="s">
        <v>197</v>
      </c>
      <c r="C17" s="1" t="s">
        <v>121</v>
      </c>
      <c r="D17" s="1" t="s">
        <v>196</v>
      </c>
    </row>
    <row r="18" spans="1:8" x14ac:dyDescent="0.3">
      <c r="A18" s="1" t="s">
        <v>21</v>
      </c>
      <c r="B18" s="1" t="s">
        <v>221</v>
      </c>
      <c r="C18" s="1" t="s">
        <v>121</v>
      </c>
      <c r="D18" s="1" t="s">
        <v>196</v>
      </c>
    </row>
    <row r="19" spans="1:8" x14ac:dyDescent="0.3">
      <c r="A19" s="1" t="s">
        <v>22</v>
      </c>
      <c r="B19" s="1" t="s">
        <v>222</v>
      </c>
      <c r="C19" s="1" t="s">
        <v>121</v>
      </c>
      <c r="D19" s="1" t="s">
        <v>196</v>
      </c>
    </row>
    <row r="20" spans="1:8" x14ac:dyDescent="0.3">
      <c r="A20" s="1" t="s">
        <v>23</v>
      </c>
      <c r="B20" s="1" t="s">
        <v>220</v>
      </c>
      <c r="C20" s="1" t="s">
        <v>121</v>
      </c>
      <c r="D20" s="1" t="s">
        <v>196</v>
      </c>
    </row>
    <row r="21" spans="1:8" x14ac:dyDescent="0.3">
      <c r="A21" s="1" t="s">
        <v>24</v>
      </c>
      <c r="B21" s="1" t="s">
        <v>197</v>
      </c>
      <c r="C21" s="1" t="s">
        <v>121</v>
      </c>
      <c r="D21" s="1" t="s">
        <v>196</v>
      </c>
    </row>
    <row r="22" spans="1:8" x14ac:dyDescent="0.3">
      <c r="A22" s="1" t="s">
        <v>25</v>
      </c>
      <c r="B22" s="1" t="s">
        <v>197</v>
      </c>
      <c r="C22" s="1" t="s">
        <v>121</v>
      </c>
      <c r="D22" s="1" t="s">
        <v>196</v>
      </c>
    </row>
    <row r="23" spans="1:8" x14ac:dyDescent="0.3">
      <c r="A23" s="1" t="s">
        <v>26</v>
      </c>
      <c r="B23" s="1" t="s">
        <v>220</v>
      </c>
      <c r="C23" s="1" t="s">
        <v>121</v>
      </c>
      <c r="D23" s="1" t="s">
        <v>196</v>
      </c>
    </row>
    <row r="24" spans="1:8" x14ac:dyDescent="0.3">
      <c r="A24" s="1" t="s">
        <v>27</v>
      </c>
      <c r="B24" s="1" t="s">
        <v>222</v>
      </c>
      <c r="C24" s="1" t="s">
        <v>121</v>
      </c>
      <c r="D24" s="1" t="s">
        <v>196</v>
      </c>
    </row>
    <row r="25" spans="1:8" x14ac:dyDescent="0.3">
      <c r="A25" s="1" t="s">
        <v>28</v>
      </c>
      <c r="B25" s="1" t="s">
        <v>220</v>
      </c>
      <c r="C25" s="1" t="s">
        <v>121</v>
      </c>
      <c r="D25" s="1" t="s">
        <v>196</v>
      </c>
    </row>
    <row r="26" spans="1:8" x14ac:dyDescent="0.3">
      <c r="A26" s="1" t="s">
        <v>29</v>
      </c>
      <c r="B26" s="1" t="s">
        <v>120</v>
      </c>
      <c r="C26" s="1" t="s">
        <v>121</v>
      </c>
      <c r="D26" s="1" t="s">
        <v>196</v>
      </c>
    </row>
    <row r="27" spans="1:8" x14ac:dyDescent="0.3">
      <c r="A27" s="1" t="s">
        <v>30</v>
      </c>
      <c r="B27" s="1" t="s">
        <v>216</v>
      </c>
      <c r="C27" s="1" t="s">
        <v>121</v>
      </c>
      <c r="D27" s="1" t="s">
        <v>196</v>
      </c>
      <c r="E27" s="1" t="s">
        <v>217</v>
      </c>
      <c r="F27" s="1"/>
      <c r="H27" s="1"/>
    </row>
    <row r="28" spans="1:8" x14ac:dyDescent="0.3">
      <c r="A28" s="1" t="s">
        <v>31</v>
      </c>
      <c r="B28" s="1" t="s">
        <v>197</v>
      </c>
      <c r="C28" s="1" t="s">
        <v>121</v>
      </c>
      <c r="D28" s="1" t="s">
        <v>196</v>
      </c>
    </row>
    <row r="29" spans="1:8" x14ac:dyDescent="0.3">
      <c r="A29" s="1" t="s">
        <v>32</v>
      </c>
      <c r="B29" s="1" t="s">
        <v>197</v>
      </c>
      <c r="C29" s="1" t="s">
        <v>121</v>
      </c>
      <c r="D29" s="1" t="s">
        <v>196</v>
      </c>
    </row>
    <row r="30" spans="1:8" x14ac:dyDescent="0.3">
      <c r="A30" s="1" t="s">
        <v>33</v>
      </c>
      <c r="B30" s="1" t="s">
        <v>220</v>
      </c>
      <c r="C30" s="1" t="s">
        <v>121</v>
      </c>
      <c r="D30" s="1" t="s">
        <v>196</v>
      </c>
    </row>
    <row r="31" spans="1:8" x14ac:dyDescent="0.3">
      <c r="A31" s="1" t="s">
        <v>34</v>
      </c>
      <c r="B31" s="1" t="s">
        <v>221</v>
      </c>
      <c r="C31" s="1" t="s">
        <v>121</v>
      </c>
      <c r="D31" s="1" t="s">
        <v>196</v>
      </c>
    </row>
    <row r="32" spans="1:8" x14ac:dyDescent="0.3">
      <c r="A32" s="1" t="s">
        <v>35</v>
      </c>
      <c r="B32" s="1" t="s">
        <v>222</v>
      </c>
      <c r="C32" s="1" t="s">
        <v>121</v>
      </c>
      <c r="D32" s="1" t="s">
        <v>196</v>
      </c>
    </row>
    <row r="33" spans="1:9" x14ac:dyDescent="0.3">
      <c r="A33" s="1" t="s">
        <v>36</v>
      </c>
      <c r="B33" s="1" t="s">
        <v>197</v>
      </c>
      <c r="C33" s="1" t="s">
        <v>121</v>
      </c>
      <c r="D33" s="1" t="s">
        <v>196</v>
      </c>
    </row>
    <row r="34" spans="1:9" x14ac:dyDescent="0.3">
      <c r="A34" s="1" t="s">
        <v>37</v>
      </c>
      <c r="B34" s="1" t="s">
        <v>223</v>
      </c>
      <c r="C34" s="1" t="s">
        <v>121</v>
      </c>
      <c r="D34" s="1" t="s">
        <v>196</v>
      </c>
    </row>
    <row r="35" spans="1:9" x14ac:dyDescent="0.3">
      <c r="A35" s="1" t="s">
        <v>38</v>
      </c>
      <c r="B35" s="1" t="s">
        <v>223</v>
      </c>
      <c r="C35" s="1" t="s">
        <v>121</v>
      </c>
      <c r="D35" s="1" t="s">
        <v>196</v>
      </c>
    </row>
    <row r="36" spans="1:9" x14ac:dyDescent="0.3">
      <c r="A36" s="1" t="s">
        <v>39</v>
      </c>
      <c r="B36" s="1" t="s">
        <v>223</v>
      </c>
      <c r="C36" s="1" t="s">
        <v>121</v>
      </c>
      <c r="D36" s="1" t="s">
        <v>196</v>
      </c>
    </row>
    <row r="37" spans="1:9" x14ac:dyDescent="0.3">
      <c r="A37" s="1" t="s">
        <v>40</v>
      </c>
      <c r="B37" s="1" t="s">
        <v>215</v>
      </c>
      <c r="C37" s="1" t="s">
        <v>121</v>
      </c>
      <c r="D37" s="1" t="s">
        <v>196</v>
      </c>
    </row>
    <row r="38" spans="1:9" x14ac:dyDescent="0.3">
      <c r="A38" s="1" t="s">
        <v>41</v>
      </c>
      <c r="B38" s="1" t="s">
        <v>203</v>
      </c>
      <c r="C38" s="1" t="s">
        <v>121</v>
      </c>
      <c r="D38" s="1" t="s">
        <v>196</v>
      </c>
      <c r="G38" s="1"/>
      <c r="H38" s="1"/>
      <c r="I38" s="1"/>
    </row>
    <row r="39" spans="1:9" x14ac:dyDescent="0.3">
      <c r="A39" s="1" t="s">
        <v>42</v>
      </c>
      <c r="B39" s="1" t="s">
        <v>214</v>
      </c>
      <c r="C39" s="1" t="s">
        <v>121</v>
      </c>
      <c r="D39" s="1" t="s">
        <v>196</v>
      </c>
    </row>
    <row r="40" spans="1:9" x14ac:dyDescent="0.3">
      <c r="A40" s="1" t="s">
        <v>43</v>
      </c>
      <c r="B40" s="1" t="s">
        <v>197</v>
      </c>
      <c r="C40" s="1" t="s">
        <v>121</v>
      </c>
      <c r="D40" s="1" t="s">
        <v>196</v>
      </c>
      <c r="E40" s="1" t="s">
        <v>198</v>
      </c>
    </row>
    <row r="41" spans="1:9" x14ac:dyDescent="0.3">
      <c r="A41" s="1" t="s">
        <v>44</v>
      </c>
      <c r="B41" s="1" t="s">
        <v>204</v>
      </c>
      <c r="C41" s="1" t="s">
        <v>121</v>
      </c>
      <c r="D41" s="1" t="s">
        <v>196</v>
      </c>
      <c r="E41" s="1" t="s">
        <v>199</v>
      </c>
    </row>
    <row r="42" spans="1:9" x14ac:dyDescent="0.3">
      <c r="A42" s="1" t="s">
        <v>45</v>
      </c>
      <c r="B42" s="1" t="s">
        <v>202</v>
      </c>
      <c r="C42" s="1" t="s">
        <v>121</v>
      </c>
      <c r="D42" s="1" t="s">
        <v>196</v>
      </c>
      <c r="E42" s="1" t="s">
        <v>200</v>
      </c>
    </row>
    <row r="43" spans="1:9" x14ac:dyDescent="0.3">
      <c r="A43" s="1" t="s">
        <v>46</v>
      </c>
      <c r="B43" s="1" t="s">
        <v>203</v>
      </c>
      <c r="C43" s="1" t="s">
        <v>121</v>
      </c>
      <c r="D43" s="1" t="s">
        <v>196</v>
      </c>
      <c r="E43" s="1" t="s">
        <v>200</v>
      </c>
    </row>
    <row r="44" spans="1:9" x14ac:dyDescent="0.3">
      <c r="A44" s="1" t="s">
        <v>47</v>
      </c>
      <c r="B44" s="1" t="s">
        <v>197</v>
      </c>
      <c r="C44" s="1" t="s">
        <v>121</v>
      </c>
      <c r="D44" s="1" t="s">
        <v>196</v>
      </c>
      <c r="E44" s="1" t="s">
        <v>198</v>
      </c>
    </row>
    <row r="45" spans="1:9" x14ac:dyDescent="0.3">
      <c r="A45" s="1" t="s">
        <v>48</v>
      </c>
      <c r="B45" s="1" t="s">
        <v>197</v>
      </c>
      <c r="C45" s="1" t="s">
        <v>121</v>
      </c>
      <c r="D45" s="1" t="s">
        <v>196</v>
      </c>
    </row>
    <row r="46" spans="1:9" x14ac:dyDescent="0.3">
      <c r="A46" s="1" t="s">
        <v>49</v>
      </c>
      <c r="B46" s="1" t="s">
        <v>197</v>
      </c>
      <c r="C46" s="1" t="s">
        <v>121</v>
      </c>
      <c r="D46" s="1" t="s">
        <v>196</v>
      </c>
    </row>
    <row r="47" spans="1:9" x14ac:dyDescent="0.3">
      <c r="A47" s="1" t="s">
        <v>50</v>
      </c>
      <c r="B47" s="1" t="s">
        <v>197</v>
      </c>
      <c r="C47" s="1" t="s">
        <v>121</v>
      </c>
      <c r="D47" s="1" t="s">
        <v>196</v>
      </c>
    </row>
    <row r="48" spans="1:9" x14ac:dyDescent="0.3">
      <c r="A48" s="1" t="s">
        <v>51</v>
      </c>
      <c r="B48" s="1" t="s">
        <v>197</v>
      </c>
      <c r="C48" s="1" t="s">
        <v>121</v>
      </c>
      <c r="D48" s="1" t="s">
        <v>196</v>
      </c>
    </row>
    <row r="49" spans="1:4" x14ac:dyDescent="0.3">
      <c r="A49" s="1" t="s">
        <v>52</v>
      </c>
      <c r="B49" s="1" t="s">
        <v>197</v>
      </c>
      <c r="C49" s="1" t="s">
        <v>121</v>
      </c>
      <c r="D49" s="1" t="s">
        <v>196</v>
      </c>
    </row>
    <row r="50" spans="1:4" x14ac:dyDescent="0.3">
      <c r="A50" s="1" t="s">
        <v>53</v>
      </c>
    </row>
    <row r="51" spans="1:4" x14ac:dyDescent="0.3">
      <c r="A51" s="1" t="s">
        <v>54</v>
      </c>
    </row>
    <row r="52" spans="1:4" x14ac:dyDescent="0.3">
      <c r="A52" s="1" t="s">
        <v>55</v>
      </c>
    </row>
    <row r="53" spans="1:4" x14ac:dyDescent="0.3">
      <c r="A53" s="1" t="s">
        <v>56</v>
      </c>
    </row>
    <row r="54" spans="1:4" x14ac:dyDescent="0.3">
      <c r="A54" s="1" t="s">
        <v>57</v>
      </c>
    </row>
    <row r="55" spans="1:4" x14ac:dyDescent="0.3">
      <c r="A55" s="1" t="s">
        <v>58</v>
      </c>
    </row>
    <row r="56" spans="1:4" x14ac:dyDescent="0.3">
      <c r="A56" s="1" t="s">
        <v>59</v>
      </c>
    </row>
    <row r="57" spans="1:4" x14ac:dyDescent="0.3">
      <c r="A57" s="1" t="s">
        <v>60</v>
      </c>
    </row>
    <row r="58" spans="1:4" x14ac:dyDescent="0.3">
      <c r="A58" s="1" t="s">
        <v>61</v>
      </c>
    </row>
    <row r="59" spans="1:4" x14ac:dyDescent="0.3">
      <c r="A59" s="1" t="s">
        <v>62</v>
      </c>
    </row>
    <row r="60" spans="1:4" x14ac:dyDescent="0.3">
      <c r="A60" s="1" t="s">
        <v>63</v>
      </c>
    </row>
    <row r="61" spans="1:4" x14ac:dyDescent="0.3">
      <c r="A61" s="1" t="s">
        <v>64</v>
      </c>
    </row>
    <row r="62" spans="1:4" x14ac:dyDescent="0.3">
      <c r="A62" s="1" t="s">
        <v>65</v>
      </c>
    </row>
    <row r="63" spans="1:4" x14ac:dyDescent="0.3">
      <c r="A63" s="1" t="s">
        <v>66</v>
      </c>
    </row>
    <row r="64" spans="1:4" x14ac:dyDescent="0.3">
      <c r="A64" s="1" t="s">
        <v>67</v>
      </c>
    </row>
    <row r="65" spans="1:1" x14ac:dyDescent="0.3">
      <c r="A65" s="1" t="s">
        <v>68</v>
      </c>
    </row>
    <row r="66" spans="1:1" x14ac:dyDescent="0.3">
      <c r="A66" s="1" t="s">
        <v>69</v>
      </c>
    </row>
    <row r="67" spans="1:1" x14ac:dyDescent="0.3">
      <c r="A67" s="1" t="s">
        <v>70</v>
      </c>
    </row>
    <row r="68" spans="1:1" x14ac:dyDescent="0.3">
      <c r="A68" s="1" t="s">
        <v>71</v>
      </c>
    </row>
    <row r="69" spans="1:1" x14ac:dyDescent="0.3">
      <c r="A69" s="1" t="s">
        <v>72</v>
      </c>
    </row>
    <row r="70" spans="1:1" x14ac:dyDescent="0.3">
      <c r="A70" s="1" t="s">
        <v>73</v>
      </c>
    </row>
    <row r="71" spans="1:1" x14ac:dyDescent="0.3">
      <c r="A71" s="1" t="s">
        <v>74</v>
      </c>
    </row>
    <row r="72" spans="1:1" x14ac:dyDescent="0.3">
      <c r="A72" s="1" t="s">
        <v>75</v>
      </c>
    </row>
    <row r="73" spans="1:1" x14ac:dyDescent="0.3">
      <c r="A73" s="1" t="s">
        <v>76</v>
      </c>
    </row>
    <row r="74" spans="1:1" x14ac:dyDescent="0.3">
      <c r="A74" s="1" t="s">
        <v>77</v>
      </c>
    </row>
    <row r="75" spans="1:1" x14ac:dyDescent="0.3">
      <c r="A75" s="1" t="s">
        <v>78</v>
      </c>
    </row>
    <row r="76" spans="1:1" x14ac:dyDescent="0.3">
      <c r="A76" s="1" t="s">
        <v>79</v>
      </c>
    </row>
    <row r="77" spans="1:1" x14ac:dyDescent="0.3">
      <c r="A77" s="1" t="s">
        <v>80</v>
      </c>
    </row>
    <row r="78" spans="1:1" x14ac:dyDescent="0.3">
      <c r="A78" s="1" t="s">
        <v>81</v>
      </c>
    </row>
    <row r="79" spans="1:1" x14ac:dyDescent="0.3">
      <c r="A79" s="1" t="s">
        <v>82</v>
      </c>
    </row>
    <row r="80" spans="1:1" x14ac:dyDescent="0.3">
      <c r="A80" s="1" t="s">
        <v>83</v>
      </c>
    </row>
    <row r="81" spans="1:1" x14ac:dyDescent="0.3">
      <c r="A81" s="1" t="s">
        <v>84</v>
      </c>
    </row>
    <row r="82" spans="1:1" x14ac:dyDescent="0.3">
      <c r="A82" s="1" t="s">
        <v>85</v>
      </c>
    </row>
    <row r="83" spans="1:1" x14ac:dyDescent="0.3">
      <c r="A83" s="1" t="s">
        <v>86</v>
      </c>
    </row>
    <row r="84" spans="1:1" x14ac:dyDescent="0.3">
      <c r="A84" s="1" t="s">
        <v>87</v>
      </c>
    </row>
    <row r="85" spans="1:1" x14ac:dyDescent="0.3">
      <c r="A85" s="1" t="s">
        <v>88</v>
      </c>
    </row>
    <row r="86" spans="1:1" x14ac:dyDescent="0.3">
      <c r="A86" s="1" t="s">
        <v>89</v>
      </c>
    </row>
    <row r="87" spans="1:1" x14ac:dyDescent="0.3">
      <c r="A87" s="1" t="s">
        <v>90</v>
      </c>
    </row>
    <row r="88" spans="1:1" x14ac:dyDescent="0.3">
      <c r="A88" s="1" t="s">
        <v>91</v>
      </c>
    </row>
    <row r="89" spans="1:1" x14ac:dyDescent="0.3">
      <c r="A89" s="1" t="s">
        <v>92</v>
      </c>
    </row>
    <row r="90" spans="1:1" x14ac:dyDescent="0.3">
      <c r="A90" s="1" t="s">
        <v>93</v>
      </c>
    </row>
    <row r="91" spans="1:1" x14ac:dyDescent="0.3">
      <c r="A91" s="1" t="s">
        <v>94</v>
      </c>
    </row>
    <row r="92" spans="1:1" x14ac:dyDescent="0.3">
      <c r="A92" s="1" t="s">
        <v>95</v>
      </c>
    </row>
    <row r="93" spans="1:1" x14ac:dyDescent="0.3">
      <c r="A93" s="1" t="s">
        <v>96</v>
      </c>
    </row>
    <row r="94" spans="1:1" x14ac:dyDescent="0.3">
      <c r="A94" s="1" t="s">
        <v>97</v>
      </c>
    </row>
    <row r="95" spans="1:1" x14ac:dyDescent="0.3">
      <c r="A95" s="1" t="s">
        <v>98</v>
      </c>
    </row>
    <row r="96" spans="1:1" x14ac:dyDescent="0.3">
      <c r="A96" s="1" t="s">
        <v>99</v>
      </c>
    </row>
    <row r="97" spans="1:1" x14ac:dyDescent="0.3">
      <c r="A97" s="1" t="s">
        <v>100</v>
      </c>
    </row>
    <row r="98" spans="1:1" x14ac:dyDescent="0.3">
      <c r="A98" s="1" t="s">
        <v>101</v>
      </c>
    </row>
    <row r="99" spans="1:1" x14ac:dyDescent="0.3">
      <c r="A99" s="1" t="s">
        <v>102</v>
      </c>
    </row>
    <row r="100" spans="1:1" x14ac:dyDescent="0.3">
      <c r="A100" s="1" t="s">
        <v>103</v>
      </c>
    </row>
    <row r="101" spans="1:1" x14ac:dyDescent="0.3">
      <c r="A101" s="1" t="s">
        <v>104</v>
      </c>
    </row>
    <row r="102" spans="1:1" x14ac:dyDescent="0.3">
      <c r="A102" s="1" t="s">
        <v>105</v>
      </c>
    </row>
    <row r="103" spans="1:1" x14ac:dyDescent="0.3">
      <c r="A103" s="1" t="s">
        <v>106</v>
      </c>
    </row>
    <row r="104" spans="1:1" x14ac:dyDescent="0.3">
      <c r="A104" s="1" t="s">
        <v>107</v>
      </c>
    </row>
    <row r="105" spans="1:1" x14ac:dyDescent="0.3">
      <c r="A105" s="1" t="s">
        <v>108</v>
      </c>
    </row>
    <row r="106" spans="1:1" x14ac:dyDescent="0.3">
      <c r="A106" s="1" t="s">
        <v>109</v>
      </c>
    </row>
    <row r="107" spans="1:1" x14ac:dyDescent="0.3">
      <c r="A107" s="1" t="s">
        <v>110</v>
      </c>
    </row>
    <row r="108" spans="1:1" x14ac:dyDescent="0.3">
      <c r="A108" s="1" t="s">
        <v>111</v>
      </c>
    </row>
    <row r="109" spans="1:1" x14ac:dyDescent="0.3">
      <c r="A109" s="1" t="s">
        <v>112</v>
      </c>
    </row>
    <row r="110" spans="1:1" x14ac:dyDescent="0.3">
      <c r="A110" s="1" t="s">
        <v>113</v>
      </c>
    </row>
    <row r="111" spans="1:1" x14ac:dyDescent="0.3">
      <c r="A111" s="1" t="s">
        <v>114</v>
      </c>
    </row>
    <row r="112" spans="1:1" x14ac:dyDescent="0.3">
      <c r="A112" s="1" t="s">
        <v>115</v>
      </c>
    </row>
    <row r="113" spans="1:1" x14ac:dyDescent="0.3">
      <c r="A113" s="1" t="s">
        <v>116</v>
      </c>
    </row>
    <row r="114" spans="1:1" x14ac:dyDescent="0.3">
      <c r="A114" s="1" t="s">
        <v>117</v>
      </c>
    </row>
    <row r="115" spans="1:1" x14ac:dyDescent="0.3">
      <c r="A115" s="1" t="s">
        <v>118</v>
      </c>
    </row>
    <row r="116" spans="1:1" x14ac:dyDescent="0.3">
      <c r="A116" s="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workbookViewId="0">
      <selection activeCell="A11" sqref="A11:G11"/>
    </sheetView>
  </sheetViews>
  <sheetFormatPr defaultRowHeight="14.4" x14ac:dyDescent="0.3"/>
  <cols>
    <col min="4" max="5" width="8.88671875" style="1"/>
  </cols>
  <sheetData>
    <row r="1" spans="1:7" x14ac:dyDescent="0.3">
      <c r="A1" t="s">
        <v>0</v>
      </c>
      <c r="B1" t="s">
        <v>122</v>
      </c>
      <c r="C1" t="s">
        <v>123</v>
      </c>
      <c r="D1" s="1" t="s">
        <v>13</v>
      </c>
      <c r="E1" s="1" t="s">
        <v>124</v>
      </c>
      <c r="F1" t="s">
        <v>125</v>
      </c>
      <c r="G1" t="s">
        <v>201</v>
      </c>
    </row>
    <row r="2" spans="1:7" x14ac:dyDescent="0.3">
      <c r="A2" t="s">
        <v>126</v>
      </c>
      <c r="B2" t="s">
        <v>208</v>
      </c>
      <c r="C2" t="s">
        <v>121</v>
      </c>
      <c r="D2" s="1" t="s">
        <v>196</v>
      </c>
      <c r="E2" s="1" t="s">
        <v>209</v>
      </c>
      <c r="F2" t="s">
        <v>210</v>
      </c>
      <c r="G2" t="s">
        <v>207</v>
      </c>
    </row>
    <row r="3" spans="1:7" x14ac:dyDescent="0.3">
      <c r="A3" t="s">
        <v>127</v>
      </c>
      <c r="B3" t="s">
        <v>208</v>
      </c>
      <c r="C3" t="s">
        <v>121</v>
      </c>
      <c r="D3" s="1" t="s">
        <v>196</v>
      </c>
      <c r="E3" s="1" t="s">
        <v>209</v>
      </c>
      <c r="F3" t="s">
        <v>210</v>
      </c>
      <c r="G3" t="s">
        <v>207</v>
      </c>
    </row>
    <row r="4" spans="1:7" x14ac:dyDescent="0.3">
      <c r="A4" t="s">
        <v>128</v>
      </c>
      <c r="B4" t="s">
        <v>219</v>
      </c>
      <c r="C4" t="s">
        <v>121</v>
      </c>
      <c r="D4" s="1" t="s">
        <v>196</v>
      </c>
      <c r="E4" s="1" t="s">
        <v>213</v>
      </c>
      <c r="F4" t="s">
        <v>210</v>
      </c>
      <c r="G4" t="s">
        <v>218</v>
      </c>
    </row>
    <row r="5" spans="1:7" x14ac:dyDescent="0.3">
      <c r="A5" t="s">
        <v>129</v>
      </c>
      <c r="B5" t="s">
        <v>219</v>
      </c>
      <c r="C5" t="s">
        <v>121</v>
      </c>
      <c r="D5" s="1" t="s">
        <v>196</v>
      </c>
      <c r="E5" s="1" t="s">
        <v>213</v>
      </c>
      <c r="F5" t="s">
        <v>210</v>
      </c>
      <c r="G5" t="s">
        <v>218</v>
      </c>
    </row>
    <row r="6" spans="1:7" x14ac:dyDescent="0.3">
      <c r="A6" t="s">
        <v>130</v>
      </c>
      <c r="B6" t="s">
        <v>219</v>
      </c>
      <c r="C6" t="s">
        <v>121</v>
      </c>
      <c r="D6" s="1" t="s">
        <v>196</v>
      </c>
      <c r="E6" s="1" t="s">
        <v>213</v>
      </c>
      <c r="F6" t="s">
        <v>210</v>
      </c>
      <c r="G6" t="s">
        <v>218</v>
      </c>
    </row>
    <row r="7" spans="1:7" x14ac:dyDescent="0.3">
      <c r="A7" t="s">
        <v>131</v>
      </c>
      <c r="B7" t="s">
        <v>206</v>
      </c>
      <c r="C7" t="s">
        <v>121</v>
      </c>
      <c r="D7" s="1" t="s">
        <v>196</v>
      </c>
      <c r="E7" s="1" t="s">
        <v>225</v>
      </c>
      <c r="F7" t="s">
        <v>210</v>
      </c>
      <c r="G7" t="s">
        <v>226</v>
      </c>
    </row>
    <row r="8" spans="1:7" x14ac:dyDescent="0.3">
      <c r="A8" t="s">
        <v>132</v>
      </c>
      <c r="B8" t="s">
        <v>208</v>
      </c>
      <c r="C8" t="s">
        <v>121</v>
      </c>
      <c r="D8" s="1" t="s">
        <v>196</v>
      </c>
      <c r="E8" s="1" t="s">
        <v>225</v>
      </c>
      <c r="F8" t="s">
        <v>210</v>
      </c>
      <c r="G8" t="s">
        <v>226</v>
      </c>
    </row>
    <row r="9" spans="1:7" x14ac:dyDescent="0.3">
      <c r="A9" t="s">
        <v>133</v>
      </c>
      <c r="B9" t="s">
        <v>206</v>
      </c>
      <c r="C9" t="s">
        <v>121</v>
      </c>
      <c r="D9" s="1" t="s">
        <v>196</v>
      </c>
      <c r="E9" s="1" t="s">
        <v>225</v>
      </c>
      <c r="F9" t="s">
        <v>210</v>
      </c>
      <c r="G9" t="s">
        <v>226</v>
      </c>
    </row>
    <row r="10" spans="1:7" x14ac:dyDescent="0.3">
      <c r="A10" t="s">
        <v>134</v>
      </c>
      <c r="B10" t="s">
        <v>208</v>
      </c>
      <c r="C10" t="s">
        <v>121</v>
      </c>
      <c r="D10" s="1" t="s">
        <v>196</v>
      </c>
      <c r="E10" s="1" t="s">
        <v>225</v>
      </c>
      <c r="F10" t="s">
        <v>210</v>
      </c>
      <c r="G10" t="s">
        <v>226</v>
      </c>
    </row>
    <row r="11" spans="1:7" x14ac:dyDescent="0.3">
      <c r="A11" t="s">
        <v>135</v>
      </c>
      <c r="B11" t="s">
        <v>240</v>
      </c>
      <c r="C11" t="s">
        <v>121</v>
      </c>
      <c r="D11" s="1" t="s">
        <v>196</v>
      </c>
      <c r="E11" s="1">
        <v>1</v>
      </c>
      <c r="F11" t="s">
        <v>195</v>
      </c>
      <c r="G11" t="s">
        <v>241</v>
      </c>
    </row>
    <row r="12" spans="1:7" x14ac:dyDescent="0.3">
      <c r="A12" t="s">
        <v>136</v>
      </c>
    </row>
    <row r="13" spans="1:7" x14ac:dyDescent="0.3">
      <c r="A13" t="s">
        <v>137</v>
      </c>
    </row>
    <row r="14" spans="1:7" x14ac:dyDescent="0.3">
      <c r="A14" t="s">
        <v>138</v>
      </c>
    </row>
    <row r="15" spans="1:7" x14ac:dyDescent="0.3">
      <c r="A15" t="s">
        <v>139</v>
      </c>
    </row>
    <row r="16" spans="1:7" x14ac:dyDescent="0.3">
      <c r="A16" t="s">
        <v>140</v>
      </c>
      <c r="B16" t="s">
        <v>206</v>
      </c>
      <c r="C16" t="s">
        <v>121</v>
      </c>
      <c r="D16" s="1" t="s">
        <v>196</v>
      </c>
      <c r="E16" s="1" t="s">
        <v>225</v>
      </c>
      <c r="F16" t="s">
        <v>210</v>
      </c>
      <c r="G16" t="s">
        <v>226</v>
      </c>
    </row>
    <row r="17" spans="1:7" x14ac:dyDescent="0.3">
      <c r="A17" t="s">
        <v>141</v>
      </c>
      <c r="B17" t="s">
        <v>208</v>
      </c>
      <c r="C17" t="s">
        <v>121</v>
      </c>
      <c r="D17" s="1" t="s">
        <v>196</v>
      </c>
      <c r="E17" s="1" t="s">
        <v>225</v>
      </c>
      <c r="F17" t="s">
        <v>210</v>
      </c>
      <c r="G17" t="s">
        <v>226</v>
      </c>
    </row>
    <row r="18" spans="1:7" x14ac:dyDescent="0.3">
      <c r="A18" t="s">
        <v>142</v>
      </c>
      <c r="B18" t="s">
        <v>206</v>
      </c>
      <c r="C18" t="s">
        <v>121</v>
      </c>
      <c r="D18" s="1" t="s">
        <v>196</v>
      </c>
      <c r="E18" s="1" t="s">
        <v>225</v>
      </c>
      <c r="F18" t="s">
        <v>210</v>
      </c>
      <c r="G18" t="s">
        <v>226</v>
      </c>
    </row>
    <row r="19" spans="1:7" x14ac:dyDescent="0.3">
      <c r="A19" t="s">
        <v>143</v>
      </c>
      <c r="B19" t="s">
        <v>208</v>
      </c>
      <c r="C19" t="s">
        <v>121</v>
      </c>
      <c r="D19" s="1" t="s">
        <v>196</v>
      </c>
      <c r="E19" s="1" t="s">
        <v>225</v>
      </c>
      <c r="F19" t="s">
        <v>210</v>
      </c>
      <c r="G19" t="s">
        <v>226</v>
      </c>
    </row>
    <row r="20" spans="1:7" x14ac:dyDescent="0.3">
      <c r="A20" t="s">
        <v>144</v>
      </c>
      <c r="B20" t="s">
        <v>206</v>
      </c>
      <c r="C20" t="s">
        <v>121</v>
      </c>
      <c r="D20" s="1" t="s">
        <v>196</v>
      </c>
      <c r="E20" s="1" t="s">
        <v>225</v>
      </c>
      <c r="F20" t="s">
        <v>210</v>
      </c>
      <c r="G20" t="s">
        <v>226</v>
      </c>
    </row>
    <row r="21" spans="1:7" x14ac:dyDescent="0.3">
      <c r="A21" t="s">
        <v>145</v>
      </c>
      <c r="B21" t="s">
        <v>208</v>
      </c>
      <c r="C21" t="s">
        <v>121</v>
      </c>
      <c r="D21" s="1" t="s">
        <v>196</v>
      </c>
      <c r="E21" s="1" t="s">
        <v>225</v>
      </c>
      <c r="F21" t="s">
        <v>210</v>
      </c>
      <c r="G21" t="s">
        <v>226</v>
      </c>
    </row>
    <row r="22" spans="1:7" x14ac:dyDescent="0.3">
      <c r="A22" t="s">
        <v>146</v>
      </c>
      <c r="B22" t="s">
        <v>206</v>
      </c>
      <c r="C22" t="s">
        <v>121</v>
      </c>
      <c r="D22" s="1" t="s">
        <v>196</v>
      </c>
      <c r="E22" s="1" t="s">
        <v>225</v>
      </c>
      <c r="F22" t="s">
        <v>210</v>
      </c>
      <c r="G22" t="s">
        <v>226</v>
      </c>
    </row>
    <row r="23" spans="1:7" x14ac:dyDescent="0.3">
      <c r="A23" t="s">
        <v>147</v>
      </c>
      <c r="B23" t="s">
        <v>208</v>
      </c>
      <c r="C23" t="s">
        <v>121</v>
      </c>
      <c r="D23" s="1" t="s">
        <v>196</v>
      </c>
      <c r="E23" s="1" t="s">
        <v>225</v>
      </c>
      <c r="F23" t="s">
        <v>210</v>
      </c>
      <c r="G23" t="s">
        <v>226</v>
      </c>
    </row>
    <row r="24" spans="1:7" x14ac:dyDescent="0.3">
      <c r="A24" t="s">
        <v>148</v>
      </c>
      <c r="B24" t="s">
        <v>206</v>
      </c>
      <c r="C24" t="s">
        <v>121</v>
      </c>
      <c r="D24" s="1" t="s">
        <v>196</v>
      </c>
      <c r="E24" s="1" t="s">
        <v>225</v>
      </c>
      <c r="F24" t="s">
        <v>210</v>
      </c>
      <c r="G24" t="s">
        <v>226</v>
      </c>
    </row>
    <row r="25" spans="1:7" x14ac:dyDescent="0.3">
      <c r="A25" t="s">
        <v>149</v>
      </c>
      <c r="B25" t="s">
        <v>208</v>
      </c>
      <c r="C25" t="s">
        <v>121</v>
      </c>
      <c r="D25" s="1" t="s">
        <v>196</v>
      </c>
      <c r="E25" s="1" t="s">
        <v>225</v>
      </c>
      <c r="F25" t="s">
        <v>210</v>
      </c>
      <c r="G25" t="s">
        <v>226</v>
      </c>
    </row>
    <row r="26" spans="1:7" x14ac:dyDescent="0.3">
      <c r="A26" t="s">
        <v>150</v>
      </c>
      <c r="B26" t="s">
        <v>206</v>
      </c>
      <c r="C26" t="s">
        <v>121</v>
      </c>
      <c r="D26" s="1" t="s">
        <v>196</v>
      </c>
      <c r="E26" s="1" t="s">
        <v>225</v>
      </c>
      <c r="F26" t="s">
        <v>210</v>
      </c>
      <c r="G26" t="s">
        <v>226</v>
      </c>
    </row>
    <row r="27" spans="1:7" x14ac:dyDescent="0.3">
      <c r="A27" t="s">
        <v>151</v>
      </c>
      <c r="B27" t="s">
        <v>208</v>
      </c>
      <c r="C27" t="s">
        <v>121</v>
      </c>
      <c r="D27" s="1" t="s">
        <v>196</v>
      </c>
      <c r="E27" s="1" t="s">
        <v>225</v>
      </c>
      <c r="F27" t="s">
        <v>210</v>
      </c>
      <c r="G27" t="s">
        <v>226</v>
      </c>
    </row>
    <row r="28" spans="1:7" x14ac:dyDescent="0.3">
      <c r="A28" t="s">
        <v>152</v>
      </c>
      <c r="B28" t="s">
        <v>206</v>
      </c>
      <c r="C28" t="s">
        <v>121</v>
      </c>
      <c r="D28" s="1" t="s">
        <v>196</v>
      </c>
      <c r="E28" s="1" t="s">
        <v>225</v>
      </c>
      <c r="F28" t="s">
        <v>210</v>
      </c>
      <c r="G28" t="s">
        <v>226</v>
      </c>
    </row>
    <row r="29" spans="1:7" x14ac:dyDescent="0.3">
      <c r="A29" t="s">
        <v>153</v>
      </c>
      <c r="B29" t="s">
        <v>208</v>
      </c>
      <c r="C29" t="s">
        <v>121</v>
      </c>
      <c r="D29" s="1" t="s">
        <v>196</v>
      </c>
      <c r="E29" s="1" t="s">
        <v>225</v>
      </c>
      <c r="F29" t="s">
        <v>210</v>
      </c>
      <c r="G29" t="s">
        <v>226</v>
      </c>
    </row>
    <row r="30" spans="1:7" x14ac:dyDescent="0.3">
      <c r="A30" t="s">
        <v>154</v>
      </c>
      <c r="B30" t="s">
        <v>206</v>
      </c>
      <c r="C30" t="s">
        <v>121</v>
      </c>
      <c r="D30" s="1" t="s">
        <v>196</v>
      </c>
      <c r="E30" s="1" t="s">
        <v>225</v>
      </c>
      <c r="F30" t="s">
        <v>210</v>
      </c>
      <c r="G30" t="s">
        <v>226</v>
      </c>
    </row>
    <row r="31" spans="1:7" x14ac:dyDescent="0.3">
      <c r="A31" t="s">
        <v>155</v>
      </c>
      <c r="B31" t="s">
        <v>208</v>
      </c>
      <c r="C31" t="s">
        <v>121</v>
      </c>
      <c r="D31" s="1" t="s">
        <v>196</v>
      </c>
      <c r="E31" s="1" t="s">
        <v>225</v>
      </c>
      <c r="F31" t="s">
        <v>210</v>
      </c>
      <c r="G31" t="s">
        <v>226</v>
      </c>
    </row>
    <row r="32" spans="1:7" x14ac:dyDescent="0.3">
      <c r="A32" t="s">
        <v>156</v>
      </c>
      <c r="B32" t="s">
        <v>206</v>
      </c>
      <c r="C32" t="s">
        <v>121</v>
      </c>
      <c r="D32" s="1" t="s">
        <v>196</v>
      </c>
      <c r="E32" s="1" t="s">
        <v>225</v>
      </c>
      <c r="F32" t="s">
        <v>210</v>
      </c>
      <c r="G32" t="s">
        <v>226</v>
      </c>
    </row>
    <row r="33" spans="1:7" x14ac:dyDescent="0.3">
      <c r="A33" t="s">
        <v>157</v>
      </c>
      <c r="B33" t="s">
        <v>208</v>
      </c>
      <c r="C33" t="s">
        <v>121</v>
      </c>
      <c r="D33" s="1" t="s">
        <v>196</v>
      </c>
      <c r="E33" s="1" t="s">
        <v>225</v>
      </c>
      <c r="F33" t="s">
        <v>210</v>
      </c>
      <c r="G33" t="s">
        <v>226</v>
      </c>
    </row>
    <row r="34" spans="1:7" x14ac:dyDescent="0.3">
      <c r="A34" t="s">
        <v>158</v>
      </c>
      <c r="B34" t="s">
        <v>206</v>
      </c>
      <c r="C34" t="s">
        <v>121</v>
      </c>
      <c r="D34" s="1" t="s">
        <v>196</v>
      </c>
      <c r="E34" s="1" t="s">
        <v>225</v>
      </c>
      <c r="F34" t="s">
        <v>210</v>
      </c>
      <c r="G34" t="s">
        <v>226</v>
      </c>
    </row>
    <row r="35" spans="1:7" x14ac:dyDescent="0.3">
      <c r="A35" t="s">
        <v>159</v>
      </c>
      <c r="B35" t="s">
        <v>208</v>
      </c>
      <c r="C35" t="s">
        <v>121</v>
      </c>
      <c r="D35" s="1" t="s">
        <v>196</v>
      </c>
      <c r="E35" s="1" t="s">
        <v>225</v>
      </c>
      <c r="F35" t="s">
        <v>210</v>
      </c>
      <c r="G35" t="s">
        <v>226</v>
      </c>
    </row>
    <row r="36" spans="1:7" x14ac:dyDescent="0.3">
      <c r="A36" t="s">
        <v>160</v>
      </c>
      <c r="B36" t="s">
        <v>206</v>
      </c>
      <c r="C36" t="s">
        <v>121</v>
      </c>
      <c r="D36" s="1" t="s">
        <v>196</v>
      </c>
      <c r="E36" s="1" t="s">
        <v>224</v>
      </c>
    </row>
    <row r="37" spans="1:7" x14ac:dyDescent="0.3">
      <c r="A37" t="s">
        <v>161</v>
      </c>
    </row>
    <row r="38" spans="1:7" x14ac:dyDescent="0.3">
      <c r="A38" t="s">
        <v>162</v>
      </c>
    </row>
    <row r="39" spans="1:7" x14ac:dyDescent="0.3">
      <c r="A39" t="s">
        <v>163</v>
      </c>
    </row>
    <row r="40" spans="1:7" x14ac:dyDescent="0.3">
      <c r="A40" t="s">
        <v>164</v>
      </c>
    </row>
    <row r="41" spans="1:7" x14ac:dyDescent="0.3">
      <c r="A41" t="s">
        <v>165</v>
      </c>
    </row>
    <row r="42" spans="1:7" x14ac:dyDescent="0.3">
      <c r="A42" t="s">
        <v>166</v>
      </c>
    </row>
    <row r="43" spans="1:7" x14ac:dyDescent="0.3">
      <c r="A43" t="s">
        <v>167</v>
      </c>
    </row>
    <row r="44" spans="1:7" x14ac:dyDescent="0.3">
      <c r="A44" t="s">
        <v>168</v>
      </c>
    </row>
    <row r="45" spans="1:7" x14ac:dyDescent="0.3">
      <c r="A45" t="s">
        <v>169</v>
      </c>
    </row>
    <row r="46" spans="1:7" x14ac:dyDescent="0.3">
      <c r="A46" t="s">
        <v>170</v>
      </c>
    </row>
    <row r="47" spans="1:7" x14ac:dyDescent="0.3">
      <c r="A47" t="s">
        <v>171</v>
      </c>
    </row>
    <row r="48" spans="1:7" x14ac:dyDescent="0.3">
      <c r="A48" t="s">
        <v>172</v>
      </c>
    </row>
    <row r="49" spans="1:1" x14ac:dyDescent="0.3">
      <c r="A49" t="s">
        <v>173</v>
      </c>
    </row>
    <row r="50" spans="1:1" x14ac:dyDescent="0.3">
      <c r="A50" t="s">
        <v>174</v>
      </c>
    </row>
    <row r="51" spans="1:1" x14ac:dyDescent="0.3">
      <c r="A51" t="s">
        <v>175</v>
      </c>
    </row>
    <row r="52" spans="1:1" x14ac:dyDescent="0.3">
      <c r="A52" t="s">
        <v>176</v>
      </c>
    </row>
    <row r="53" spans="1:1" x14ac:dyDescent="0.3">
      <c r="A53" t="s">
        <v>177</v>
      </c>
    </row>
    <row r="54" spans="1:1" x14ac:dyDescent="0.3">
      <c r="A54" t="s">
        <v>178</v>
      </c>
    </row>
    <row r="55" spans="1:1" x14ac:dyDescent="0.3">
      <c r="A55" t="s">
        <v>179</v>
      </c>
    </row>
    <row r="56" spans="1:1" x14ac:dyDescent="0.3">
      <c r="A56" t="s">
        <v>180</v>
      </c>
    </row>
    <row r="57" spans="1:1" x14ac:dyDescent="0.3">
      <c r="A57" t="s">
        <v>181</v>
      </c>
    </row>
    <row r="58" spans="1:1" x14ac:dyDescent="0.3">
      <c r="A58" t="s">
        <v>182</v>
      </c>
    </row>
    <row r="59" spans="1:1" x14ac:dyDescent="0.3">
      <c r="A59" t="s">
        <v>183</v>
      </c>
    </row>
    <row r="60" spans="1:1" x14ac:dyDescent="0.3">
      <c r="A60" t="s">
        <v>184</v>
      </c>
    </row>
    <row r="61" spans="1:1" x14ac:dyDescent="0.3">
      <c r="A61" t="s">
        <v>185</v>
      </c>
    </row>
    <row r="62" spans="1:1" x14ac:dyDescent="0.3">
      <c r="A62" t="s">
        <v>186</v>
      </c>
    </row>
    <row r="63" spans="1:1" x14ac:dyDescent="0.3">
      <c r="A63" t="s">
        <v>187</v>
      </c>
    </row>
    <row r="64" spans="1:1" x14ac:dyDescent="0.3">
      <c r="A64" t="s">
        <v>188</v>
      </c>
    </row>
    <row r="65" spans="1:1" x14ac:dyDescent="0.3">
      <c r="A65" t="s">
        <v>189</v>
      </c>
    </row>
    <row r="66" spans="1:1" x14ac:dyDescent="0.3">
      <c r="A66" t="s">
        <v>190</v>
      </c>
    </row>
    <row r="67" spans="1:1" x14ac:dyDescent="0.3">
      <c r="A67" t="s">
        <v>191</v>
      </c>
    </row>
    <row r="68" spans="1:1" x14ac:dyDescent="0.3">
      <c r="A68" t="s">
        <v>192</v>
      </c>
    </row>
    <row r="69" spans="1:1" x14ac:dyDescent="0.3">
      <c r="A69" t="s">
        <v>193</v>
      </c>
    </row>
    <row r="70" spans="1:1" x14ac:dyDescent="0.3">
      <c r="A70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workbookViewId="0">
      <selection activeCell="Q2" sqref="Q2"/>
    </sheetView>
  </sheetViews>
  <sheetFormatPr defaultRowHeight="14.4" x14ac:dyDescent="0.3"/>
  <cols>
    <col min="2" max="2" width="15.77734375" customWidth="1"/>
    <col min="3" max="3" width="8.88671875" customWidth="1"/>
    <col min="5" max="5" width="39.109375" customWidth="1"/>
    <col min="7" max="7" width="15.6640625" customWidth="1"/>
  </cols>
  <sheetData>
    <row r="1" spans="1:17" ht="14.4" customHeight="1" x14ac:dyDescent="0.3">
      <c r="A1" t="s">
        <v>227</v>
      </c>
      <c r="P1" t="s">
        <v>270</v>
      </c>
      <c r="Q1">
        <v>1</v>
      </c>
    </row>
    <row r="2" spans="1:17" ht="14.4" customHeight="1" x14ac:dyDescent="0.3">
      <c r="A2" t="s">
        <v>233</v>
      </c>
      <c r="B2" t="s">
        <v>272</v>
      </c>
      <c r="C2" t="s">
        <v>228</v>
      </c>
      <c r="E2" t="s">
        <v>229</v>
      </c>
      <c r="F2" t="s">
        <v>248</v>
      </c>
      <c r="G2" t="s">
        <v>258</v>
      </c>
      <c r="H2" t="s">
        <v>249</v>
      </c>
      <c r="I2" t="s">
        <v>247</v>
      </c>
      <c r="P2" t="s">
        <v>271</v>
      </c>
      <c r="Q2">
        <f>SUM(H3:H23)</f>
        <v>112.55</v>
      </c>
    </row>
    <row r="3" spans="1:17" ht="14.4" customHeight="1" x14ac:dyDescent="0.3">
      <c r="A3" s="1">
        <v>3</v>
      </c>
      <c r="B3">
        <v>2</v>
      </c>
      <c r="C3">
        <f>B3*$Q$1</f>
        <v>2</v>
      </c>
      <c r="E3" s="2" t="s">
        <v>230</v>
      </c>
      <c r="F3">
        <v>1.478</v>
      </c>
      <c r="G3">
        <v>5</v>
      </c>
      <c r="H3">
        <f>ROUNDUP(C3/G3,0)*(F3*G3)</f>
        <v>7.39</v>
      </c>
      <c r="I3" t="s">
        <v>246</v>
      </c>
    </row>
    <row r="4" spans="1:17" ht="14.4" customHeight="1" x14ac:dyDescent="0.3">
      <c r="A4" s="1" t="s">
        <v>250</v>
      </c>
      <c r="B4">
        <v>3</v>
      </c>
      <c r="C4">
        <f t="shared" ref="C4:C15" si="0">B4*$Q$1</f>
        <v>3</v>
      </c>
      <c r="E4" s="2" t="s">
        <v>231</v>
      </c>
      <c r="F4">
        <v>2.6139999999999999</v>
      </c>
      <c r="G4">
        <v>5</v>
      </c>
      <c r="H4">
        <f t="shared" ref="H4:H23" si="1">ROUNDUP(C4/G4,0)*(F4*G4)</f>
        <v>13.07</v>
      </c>
      <c r="I4" t="s">
        <v>254</v>
      </c>
    </row>
    <row r="5" spans="1:17" ht="14.4" customHeight="1" x14ac:dyDescent="0.3">
      <c r="A5" t="s">
        <v>252</v>
      </c>
      <c r="B5">
        <v>3</v>
      </c>
      <c r="C5">
        <f t="shared" si="0"/>
        <v>3</v>
      </c>
      <c r="E5" s="2" t="s">
        <v>235</v>
      </c>
      <c r="F5">
        <v>0.32600000000000001</v>
      </c>
      <c r="G5">
        <v>5</v>
      </c>
      <c r="H5">
        <f t="shared" si="1"/>
        <v>1.6300000000000001</v>
      </c>
      <c r="I5" t="s">
        <v>255</v>
      </c>
    </row>
    <row r="6" spans="1:17" ht="14.4" customHeight="1" x14ac:dyDescent="0.3">
      <c r="A6" t="s">
        <v>256</v>
      </c>
      <c r="B6">
        <v>1</v>
      </c>
      <c r="C6">
        <f t="shared" si="0"/>
        <v>1</v>
      </c>
      <c r="E6" s="2" t="s">
        <v>40</v>
      </c>
      <c r="F6">
        <v>1.976</v>
      </c>
      <c r="G6">
        <v>5</v>
      </c>
      <c r="H6">
        <f t="shared" si="1"/>
        <v>9.879999999999999</v>
      </c>
      <c r="I6" t="s">
        <v>257</v>
      </c>
    </row>
    <row r="7" spans="1:17" ht="14.4" customHeight="1" x14ac:dyDescent="0.3">
      <c r="A7" t="s">
        <v>211</v>
      </c>
      <c r="B7">
        <v>2</v>
      </c>
      <c r="C7">
        <f t="shared" si="0"/>
        <v>2</v>
      </c>
      <c r="E7" s="2" t="s">
        <v>236</v>
      </c>
      <c r="F7">
        <v>1.976</v>
      </c>
      <c r="G7">
        <v>5</v>
      </c>
      <c r="H7">
        <f t="shared" si="1"/>
        <v>9.879999999999999</v>
      </c>
      <c r="I7" t="s">
        <v>259</v>
      </c>
    </row>
    <row r="8" spans="1:17" ht="14.4" customHeight="1" x14ac:dyDescent="0.3">
      <c r="A8" t="s">
        <v>214</v>
      </c>
      <c r="B8">
        <v>1</v>
      </c>
      <c r="C8">
        <f t="shared" si="0"/>
        <v>1</v>
      </c>
      <c r="E8" s="2" t="s">
        <v>42</v>
      </c>
      <c r="F8">
        <v>0.65400000000000003</v>
      </c>
      <c r="G8">
        <v>5</v>
      </c>
      <c r="H8">
        <f t="shared" si="1"/>
        <v>3.27</v>
      </c>
      <c r="I8" t="s">
        <v>260</v>
      </c>
    </row>
    <row r="9" spans="1:17" ht="43.8" customHeight="1" x14ac:dyDescent="0.3">
      <c r="A9" t="s">
        <v>197</v>
      </c>
      <c r="B9">
        <v>22</v>
      </c>
      <c r="C9">
        <f t="shared" si="0"/>
        <v>22</v>
      </c>
      <c r="E9" s="2" t="s">
        <v>251</v>
      </c>
      <c r="I9" t="s">
        <v>245</v>
      </c>
    </row>
    <row r="10" spans="1:17" ht="14.4" customHeight="1" x14ac:dyDescent="0.3">
      <c r="A10" t="s">
        <v>203</v>
      </c>
      <c r="B10">
        <v>2</v>
      </c>
      <c r="C10">
        <f t="shared" si="0"/>
        <v>2</v>
      </c>
      <c r="E10" s="2" t="s">
        <v>232</v>
      </c>
      <c r="F10">
        <v>0.32600000000000001</v>
      </c>
      <c r="G10">
        <v>5</v>
      </c>
      <c r="H10">
        <f t="shared" si="1"/>
        <v>1.6300000000000001</v>
      </c>
      <c r="I10" t="s">
        <v>261</v>
      </c>
    </row>
    <row r="11" spans="1:17" ht="14.4" customHeight="1" x14ac:dyDescent="0.3">
      <c r="A11" t="s">
        <v>216</v>
      </c>
      <c r="B11">
        <v>1</v>
      </c>
      <c r="C11">
        <f t="shared" si="0"/>
        <v>1</v>
      </c>
      <c r="E11" s="2" t="s">
        <v>30</v>
      </c>
      <c r="F11">
        <v>0.08</v>
      </c>
      <c r="G11">
        <v>50</v>
      </c>
      <c r="H11">
        <f t="shared" si="1"/>
        <v>4</v>
      </c>
      <c r="I11" t="s">
        <v>262</v>
      </c>
    </row>
    <row r="12" spans="1:17" ht="14.4" customHeight="1" x14ac:dyDescent="0.3">
      <c r="A12" t="s">
        <v>204</v>
      </c>
      <c r="B12">
        <v>1</v>
      </c>
      <c r="C12">
        <f t="shared" si="0"/>
        <v>1</v>
      </c>
      <c r="E12" s="2" t="s">
        <v>44</v>
      </c>
      <c r="F12">
        <v>1.976</v>
      </c>
      <c r="G12">
        <v>5</v>
      </c>
      <c r="H12">
        <f t="shared" si="1"/>
        <v>9.879999999999999</v>
      </c>
      <c r="I12" t="s">
        <v>263</v>
      </c>
    </row>
    <row r="13" spans="1:17" ht="14.4" customHeight="1" x14ac:dyDescent="0.3">
      <c r="A13" t="s">
        <v>220</v>
      </c>
      <c r="B13">
        <v>6</v>
      </c>
      <c r="C13">
        <f t="shared" si="0"/>
        <v>6</v>
      </c>
      <c r="E13" s="2" t="s">
        <v>234</v>
      </c>
      <c r="F13">
        <v>0.29599999999999999</v>
      </c>
      <c r="G13">
        <v>10</v>
      </c>
      <c r="H13">
        <f t="shared" si="1"/>
        <v>2.96</v>
      </c>
      <c r="I13" t="s">
        <v>264</v>
      </c>
    </row>
    <row r="14" spans="1:17" ht="14.4" customHeight="1" x14ac:dyDescent="0.3">
      <c r="A14" t="s">
        <v>202</v>
      </c>
      <c r="B14">
        <v>1</v>
      </c>
      <c r="C14">
        <f t="shared" si="0"/>
        <v>1</v>
      </c>
      <c r="E14" s="2" t="s">
        <v>45</v>
      </c>
      <c r="F14">
        <v>0.34200000000000003</v>
      </c>
      <c r="G14">
        <v>5</v>
      </c>
      <c r="H14">
        <f t="shared" si="1"/>
        <v>1.7100000000000002</v>
      </c>
      <c r="I14" t="s">
        <v>265</v>
      </c>
    </row>
    <row r="15" spans="1:17" ht="14.4" customHeight="1" x14ac:dyDescent="0.3">
      <c r="A15" t="s">
        <v>253</v>
      </c>
      <c r="B15">
        <v>3</v>
      </c>
      <c r="C15">
        <f t="shared" si="0"/>
        <v>3</v>
      </c>
      <c r="E15" s="2" t="s">
        <v>237</v>
      </c>
      <c r="F15">
        <v>2.1</v>
      </c>
      <c r="G15">
        <v>5</v>
      </c>
      <c r="H15">
        <f t="shared" si="1"/>
        <v>10.5</v>
      </c>
      <c r="I15" t="s">
        <v>266</v>
      </c>
    </row>
    <row r="16" spans="1:17" ht="14.4" customHeight="1" x14ac:dyDescent="0.3">
      <c r="A16" t="s">
        <v>238</v>
      </c>
      <c r="E16" s="2"/>
    </row>
    <row r="17" spans="1:9" ht="14.4" customHeight="1" x14ac:dyDescent="0.3">
      <c r="A17" t="s">
        <v>233</v>
      </c>
      <c r="B17" t="s">
        <v>272</v>
      </c>
      <c r="C17" t="s">
        <v>228</v>
      </c>
      <c r="D17" t="s">
        <v>239</v>
      </c>
      <c r="E17" s="2" t="s">
        <v>229</v>
      </c>
    </row>
    <row r="18" spans="1:9" ht="14.4" customHeight="1" x14ac:dyDescent="0.3">
      <c r="A18" t="s">
        <v>219</v>
      </c>
      <c r="B18">
        <v>3</v>
      </c>
      <c r="C18">
        <f t="shared" ref="C18:C23" si="2">B18*$Q$1</f>
        <v>3</v>
      </c>
      <c r="D18" s="1">
        <v>15</v>
      </c>
      <c r="E18" s="2" t="s">
        <v>242</v>
      </c>
      <c r="F18">
        <v>0.30199999999999999</v>
      </c>
      <c r="G18">
        <v>100</v>
      </c>
      <c r="H18">
        <f t="shared" si="1"/>
        <v>30.2</v>
      </c>
      <c r="I18" t="s">
        <v>218</v>
      </c>
    </row>
    <row r="19" spans="1:9" ht="30.6" customHeight="1" x14ac:dyDescent="0.3">
      <c r="A19" t="s">
        <v>208</v>
      </c>
      <c r="B19">
        <v>12</v>
      </c>
      <c r="C19">
        <f t="shared" si="2"/>
        <v>12</v>
      </c>
      <c r="D19" s="1">
        <v>15</v>
      </c>
      <c r="E19" s="2" t="s">
        <v>267</v>
      </c>
      <c r="I19" t="s">
        <v>245</v>
      </c>
    </row>
    <row r="20" spans="1:9" ht="14.4" customHeight="1" x14ac:dyDescent="0.3">
      <c r="A20" t="s">
        <v>208</v>
      </c>
      <c r="B20">
        <v>2</v>
      </c>
      <c r="C20">
        <f t="shared" si="2"/>
        <v>2</v>
      </c>
      <c r="D20" s="1" t="s">
        <v>243</v>
      </c>
      <c r="E20" s="2" t="s">
        <v>244</v>
      </c>
      <c r="I20" t="s">
        <v>245</v>
      </c>
    </row>
    <row r="21" spans="1:9" ht="29.4" customHeight="1" x14ac:dyDescent="0.3">
      <c r="A21" t="s">
        <v>206</v>
      </c>
      <c r="B21">
        <v>12</v>
      </c>
      <c r="C21">
        <f t="shared" si="2"/>
        <v>12</v>
      </c>
      <c r="D21" s="1">
        <v>15</v>
      </c>
      <c r="E21" s="2" t="s">
        <v>268</v>
      </c>
      <c r="I21" t="s">
        <v>245</v>
      </c>
    </row>
    <row r="22" spans="1:9" ht="14.4" customHeight="1" x14ac:dyDescent="0.3">
      <c r="A22" t="s">
        <v>206</v>
      </c>
      <c r="B22">
        <v>1</v>
      </c>
      <c r="C22">
        <f t="shared" si="2"/>
        <v>1</v>
      </c>
      <c r="D22" s="1" t="s">
        <v>224</v>
      </c>
      <c r="E22" s="2" t="s">
        <v>160</v>
      </c>
      <c r="I22" t="s">
        <v>245</v>
      </c>
    </row>
    <row r="23" spans="1:9" ht="14.4" customHeight="1" x14ac:dyDescent="0.3">
      <c r="A23" t="s">
        <v>240</v>
      </c>
      <c r="B23">
        <v>1</v>
      </c>
      <c r="C23">
        <f t="shared" si="2"/>
        <v>1</v>
      </c>
      <c r="D23" s="1">
        <v>1</v>
      </c>
      <c r="E23" s="2" t="s">
        <v>135</v>
      </c>
      <c r="F23">
        <v>0.26200000000000001</v>
      </c>
      <c r="G23">
        <v>25</v>
      </c>
      <c r="H23">
        <f t="shared" si="1"/>
        <v>6.5500000000000007</v>
      </c>
      <c r="I23" t="s">
        <v>269</v>
      </c>
    </row>
  </sheetData>
  <sortState ref="A1:G49">
    <sortCondition ref="B1:B4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Resistors</vt:lpstr>
      <vt:lpstr>Capacitors</vt:lpstr>
      <vt:lpstr>By the numbers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Andersen</dc:creator>
  <cp:lastModifiedBy>Martin Andersen</cp:lastModifiedBy>
  <dcterms:created xsi:type="dcterms:W3CDTF">2016-04-28T14:43:39Z</dcterms:created>
  <dcterms:modified xsi:type="dcterms:W3CDTF">2016-05-01T12:03:17Z</dcterms:modified>
</cp:coreProperties>
</file>