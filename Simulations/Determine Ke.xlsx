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TEK\PRO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G17" i="1"/>
  <c r="G18" i="1" s="1"/>
  <c r="G10" i="1" l="1"/>
  <c r="G12" i="1" l="1"/>
  <c r="D3" i="1"/>
  <c r="D4" i="1"/>
  <c r="D5" i="1"/>
  <c r="D6" i="1"/>
  <c r="G6" i="1" s="1"/>
  <c r="D7" i="1"/>
  <c r="D8" i="1"/>
  <c r="D2" i="1"/>
  <c r="G3" i="1"/>
  <c r="G4" i="1"/>
  <c r="G5" i="1"/>
  <c r="G7" i="1"/>
  <c r="G8" i="1"/>
  <c r="E3" i="1"/>
  <c r="E4" i="1"/>
  <c r="E5" i="1"/>
  <c r="E6" i="1"/>
  <c r="E7" i="1"/>
  <c r="E8" i="1"/>
  <c r="E2" i="1"/>
  <c r="G2" i="1" l="1"/>
  <c r="H7" i="1" l="1"/>
  <c r="H4" i="1"/>
  <c r="H8" i="1"/>
  <c r="H3" i="1"/>
  <c r="H5" i="1"/>
  <c r="H6" i="1"/>
  <c r="H2" i="1"/>
  <c r="H10" i="1" l="1"/>
</calcChain>
</file>

<file path=xl/sharedStrings.xml><?xml version="1.0" encoding="utf-8"?>
<sst xmlns="http://schemas.openxmlformats.org/spreadsheetml/2006/main" count="6" uniqueCount="6">
  <si>
    <t>V_p-p</t>
  </si>
  <si>
    <t>Hz</t>
  </si>
  <si>
    <t>Rad/s</t>
  </si>
  <si>
    <t>Ke</t>
  </si>
  <si>
    <t>d</t>
  </si>
  <si>
    <t>V_phase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</si>
</sst>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Sheet1!$G$2:$G$8</c:f>
              <c:numCache>
                <c:formatCode>General</c:formatCode>
                <c:ptCount val="7"/>
                <c:pt idx="0">
                  <c:v>1.80258768359484E-2</c:v>
                </c:pt>
                <c:pt idx="1">
                  <c:v>1.8345403807465556E-2</c:v>
                </c:pt>
                <c:pt idx="2">
                  <c:v>1.8501087492100048E-2</c:v>
                </c:pt>
                <c:pt idx="3">
                  <c:v>1.811158398100542E-2</c:v>
                </c:pt>
                <c:pt idx="4">
                  <c:v>1.8975454474975811E-2</c:v>
                </c:pt>
                <c:pt idx="5">
                  <c:v>1.8310435588353241E-2</c:v>
                </c:pt>
                <c:pt idx="6">
                  <c:v>1.7987593412773548E-2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87844784"/>
        <c:axId val="-887844240"/>
      </c:scatterChart>
      <c:valAx>
        <c:axId val="-88784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-887844240"/>
        <c:crosses val="autoZero"/>
        <c:crossBetween val="midCat"/>
      </c:valAx>
      <c:valAx>
        <c:axId val="-887844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-88784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2</xdr:row>
      <xdr:rowOff>49530</xdr:rowOff>
    </xdr:from>
    <xdr:to>
      <xdr:col>17</xdr:col>
      <xdr:colOff>548640</xdr:colOff>
      <xdr:row>17</xdr:row>
      <xdr:rowOff>49530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H19" sqref="H1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D1" t="s">
        <v>5</v>
      </c>
      <c r="E1" t="s">
        <v>2</v>
      </c>
      <c r="G1" t="s">
        <v>3</v>
      </c>
      <c r="H1" t="s">
        <v>4</v>
      </c>
    </row>
    <row r="2" spans="1:8" x14ac:dyDescent="0.3">
      <c r="A2">
        <v>28.3</v>
      </c>
      <c r="B2">
        <v>72.130600000000001</v>
      </c>
      <c r="D2">
        <f>A2/(SQRT(3)*2)</f>
        <v>8.1695063090332045</v>
      </c>
      <c r="E2">
        <f>B2*(2*PI())</f>
        <v>453.20992611804786</v>
      </c>
      <c r="G2">
        <f>D2/E2</f>
        <v>1.80258768359484E-2</v>
      </c>
      <c r="H2">
        <f>ABS(G2-$G$10)</f>
        <v>5.5264086359835624E-2</v>
      </c>
    </row>
    <row r="3" spans="1:8" x14ac:dyDescent="0.3">
      <c r="A3">
        <v>15.3</v>
      </c>
      <c r="B3">
        <v>38.317191000000001</v>
      </c>
      <c r="D3">
        <f t="shared" ref="D3:D8" si="0">A3/(SQRT(3)*2)</f>
        <v>4.4167295593006379</v>
      </c>
      <c r="E3">
        <f t="shared" ref="E3:E8" si="1">B3*(2*PI())</f>
        <v>240.75401150359389</v>
      </c>
      <c r="G3">
        <f t="shared" ref="G3:G8" si="2">D3/E3</f>
        <v>1.8345403807465556E-2</v>
      </c>
      <c r="H3">
        <f t="shared" ref="H3:H8" si="3">ABS(G3-$G$10)</f>
        <v>5.4944559388318472E-2</v>
      </c>
    </row>
    <row r="4" spans="1:8" x14ac:dyDescent="0.3">
      <c r="A4">
        <v>16.5</v>
      </c>
      <c r="B4">
        <v>40.974739</v>
      </c>
      <c r="D4">
        <f t="shared" si="0"/>
        <v>4.7631397208144124</v>
      </c>
      <c r="E4">
        <f t="shared" si="1"/>
        <v>257.45187805031838</v>
      </c>
      <c r="G4">
        <f t="shared" si="2"/>
        <v>1.8501087492100048E-2</v>
      </c>
      <c r="H4">
        <f t="shared" si="3"/>
        <v>5.478887570368398E-2</v>
      </c>
    </row>
    <row r="5" spans="1:8" x14ac:dyDescent="0.3">
      <c r="A5">
        <v>17.7</v>
      </c>
      <c r="B5">
        <v>44.9</v>
      </c>
      <c r="D5">
        <f t="shared" si="0"/>
        <v>5.1095498823281877</v>
      </c>
      <c r="E5">
        <f t="shared" si="1"/>
        <v>282.1150202923634</v>
      </c>
      <c r="G5">
        <f t="shared" si="2"/>
        <v>1.811158398100542E-2</v>
      </c>
      <c r="H5">
        <f t="shared" si="3"/>
        <v>5.5178379214778611E-2</v>
      </c>
    </row>
    <row r="6" spans="1:8" x14ac:dyDescent="0.3">
      <c r="A6">
        <v>9.6999999999999993</v>
      </c>
      <c r="B6">
        <v>23.486000000000001</v>
      </c>
      <c r="D6">
        <f t="shared" si="0"/>
        <v>2.8001488055696848</v>
      </c>
      <c r="E6">
        <f t="shared" si="1"/>
        <v>147.56689012441976</v>
      </c>
      <c r="G6">
        <f t="shared" si="2"/>
        <v>1.8975454474975811E-2</v>
      </c>
      <c r="H6">
        <f t="shared" si="3"/>
        <v>5.4314508720808216E-2</v>
      </c>
    </row>
    <row r="7" spans="1:8" x14ac:dyDescent="0.3">
      <c r="A7">
        <v>21.8</v>
      </c>
      <c r="B7">
        <v>54.7</v>
      </c>
      <c r="D7">
        <f t="shared" si="0"/>
        <v>6.2931179341669212</v>
      </c>
      <c r="E7">
        <f t="shared" si="1"/>
        <v>343.69023630272341</v>
      </c>
      <c r="G7">
        <f t="shared" si="2"/>
        <v>1.8310435588353241E-2</v>
      </c>
      <c r="H7">
        <f t="shared" si="3"/>
        <v>5.4979527607430786E-2</v>
      </c>
    </row>
    <row r="8" spans="1:8" x14ac:dyDescent="0.3">
      <c r="A8">
        <v>24.2</v>
      </c>
      <c r="B8">
        <v>61.811860000000003</v>
      </c>
      <c r="D8">
        <f t="shared" si="0"/>
        <v>6.9859382571944719</v>
      </c>
      <c r="E8">
        <f t="shared" si="1"/>
        <v>388.37537056144157</v>
      </c>
      <c r="G8">
        <f t="shared" si="2"/>
        <v>1.7987593412773548E-2</v>
      </c>
      <c r="H8">
        <f t="shared" si="3"/>
        <v>5.530236978301048E-2</v>
      </c>
    </row>
    <row r="10" spans="1:8" x14ac:dyDescent="0.3">
      <c r="G10">
        <f>SUM(G2:G8)/COUNT(G2:G8)*4</f>
        <v>7.3289963195784028E-2</v>
      </c>
      <c r="H10">
        <f>SUM(H2:H8)/COUNT(H2:H8)</f>
        <v>5.4967472396838031E-2</v>
      </c>
    </row>
    <row r="12" spans="1:8" x14ac:dyDescent="0.3">
      <c r="G12">
        <f>0.13/G10</f>
        <v>1.7737763034854164</v>
      </c>
    </row>
    <row r="17" spans="7:8" x14ac:dyDescent="0.3">
      <c r="G17">
        <f>2/3*38</f>
        <v>25.333333333333332</v>
      </c>
      <c r="H17">
        <f>0.13/1.5</f>
        <v>8.666666666666667E-2</v>
      </c>
    </row>
    <row r="18" spans="7:8" x14ac:dyDescent="0.3">
      <c r="G18">
        <f>G17/(0.13/1.5)</f>
        <v>292.30769230769226</v>
      </c>
      <c r="H18">
        <f>0.13/G10</f>
        <v>1.7737763034854164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Andersen</dc:creator>
  <cp:lastModifiedBy>Martin Andersen</cp:lastModifiedBy>
  <dcterms:created xsi:type="dcterms:W3CDTF">2016-04-08T11:10:58Z</dcterms:created>
  <dcterms:modified xsi:type="dcterms:W3CDTF">2016-04-12T09:08:09Z</dcterms:modified>
</cp:coreProperties>
</file>